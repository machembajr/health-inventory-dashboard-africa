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D:\Work EX\"/>
    </mc:Choice>
  </mc:AlternateContent>
  <xr:revisionPtr revIDLastSave="0" documentId="8_{523C4FC7-E320-4371-83F2-342676FAEE9E}" xr6:coauthVersionLast="47" xr6:coauthVersionMax="47" xr10:uidLastSave="{00000000-0000-0000-0000-000000000000}"/>
  <bookViews>
    <workbookView xWindow="-110" yWindow="-110" windowWidth="19420" windowHeight="10300" tabRatio="733" activeTab="2" xr2:uid="{00000000-000D-0000-FFFF-FFFF00000000}"/>
  </bookViews>
  <sheets>
    <sheet name="Pivottable" sheetId="5" r:id="rId1"/>
    <sheet name="health_inventory_by_country" sheetId="1" r:id="rId2"/>
    <sheet name="Dashboard" sheetId="10" r:id="rId3"/>
  </sheets>
  <definedNames>
    <definedName name="Slicer_Cold_Chain_Required">#N/A</definedName>
    <definedName name="Slicer_Country">#N/A</definedName>
    <definedName name="Slicer_Therapeutic_Area">#N/A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9" i="5"/>
  <c r="G12" i="5"/>
  <c r="G3" i="5"/>
  <c r="G6" i="5"/>
</calcChain>
</file>

<file path=xl/sharedStrings.xml><?xml version="1.0" encoding="utf-8"?>
<sst xmlns="http://schemas.openxmlformats.org/spreadsheetml/2006/main" count="417" uniqueCount="67">
  <si>
    <t>Country</t>
  </si>
  <si>
    <t>Amoxicillin 500mg Capsule</t>
  </si>
  <si>
    <t>Artemether-Lumefantrine 20/120</t>
  </si>
  <si>
    <t>Oral Rehydration Salts</t>
  </si>
  <si>
    <t>Zinc Sulfate 20mg</t>
  </si>
  <si>
    <t>Tenofovir/Lamivudine/Dolutegravir</t>
  </si>
  <si>
    <t>Isoniazid 300mg</t>
  </si>
  <si>
    <t>Rifampicin 300mg</t>
  </si>
  <si>
    <t>Oxytocin 10IU/mL Injection</t>
  </si>
  <si>
    <t>Magnesium Sulfate 50% Inj</t>
  </si>
  <si>
    <t>Insulin Human 100IU/mL</t>
  </si>
  <si>
    <t>Salbutamol Inhaler 100mcg</t>
  </si>
  <si>
    <t>Amlodipine 5mg</t>
  </si>
  <si>
    <t>Metformin 500mg</t>
  </si>
  <si>
    <t>Paracetamol 500mg</t>
  </si>
  <si>
    <t>Ceftriaxone 1g Injection</t>
  </si>
  <si>
    <t>Pentavalent Vaccine</t>
  </si>
  <si>
    <t>Measles-Rubella Vaccine</t>
  </si>
  <si>
    <t>BCG Vaccine</t>
  </si>
  <si>
    <t>Oral Polio Vaccine</t>
  </si>
  <si>
    <t>Yellow Fever Vaccine</t>
  </si>
  <si>
    <t>Male Latex Condom</t>
  </si>
  <si>
    <t>Combined Oral Contraceptive</t>
  </si>
  <si>
    <t>Malaria RDT Kit</t>
  </si>
  <si>
    <t>HIV Rapid Test Kit</t>
  </si>
  <si>
    <t>Pregnancy Test Strip</t>
  </si>
  <si>
    <t>Kenya</t>
  </si>
  <si>
    <t>Nigeria</t>
  </si>
  <si>
    <t>Uganda</t>
  </si>
  <si>
    <t>Tanzania</t>
  </si>
  <si>
    <t>Ghana</t>
  </si>
  <si>
    <t>Anti-Infective</t>
  </si>
  <si>
    <t>Malaria</t>
  </si>
  <si>
    <t>MNCH</t>
  </si>
  <si>
    <t>HIV</t>
  </si>
  <si>
    <t>TB</t>
  </si>
  <si>
    <t>NCD</t>
  </si>
  <si>
    <t>Vaccine</t>
  </si>
  <si>
    <t>Reproductive</t>
  </si>
  <si>
    <t>No</t>
  </si>
  <si>
    <t>Yes</t>
  </si>
  <si>
    <t>Product Name</t>
  </si>
  <si>
    <t>Therapeutic Area</t>
  </si>
  <si>
    <t>Cold Chain Required</t>
  </si>
  <si>
    <t>Stock on Hand</t>
  </si>
  <si>
    <t>Unit Cost</t>
  </si>
  <si>
    <t>Inventory Value</t>
  </si>
  <si>
    <t>Days of Stock</t>
  </si>
  <si>
    <t>Facility Count</t>
  </si>
  <si>
    <t>Row Labels</t>
  </si>
  <si>
    <t>Grand Total</t>
  </si>
  <si>
    <t>Sum of Inventory Value</t>
  </si>
  <si>
    <t>Count of Cold Chain Required</t>
  </si>
  <si>
    <t>Total Count of Cold Chain Required</t>
  </si>
  <si>
    <t>Inventory Value by Country</t>
  </si>
  <si>
    <t>Sum of Cold Chain Required</t>
  </si>
  <si>
    <t>Total Sum of Inventory Value</t>
  </si>
  <si>
    <t>Total Sum of Cold Chain Required</t>
  </si>
  <si>
    <t>% Cold‑Chain Inventory</t>
  </si>
  <si>
    <t>Inventory Value by Country   Cold Chain</t>
  </si>
  <si>
    <t>Highest Value Country (TZ)</t>
  </si>
  <si>
    <t>Value Therapeutic Area</t>
  </si>
  <si>
    <t>Highest Value Therapeutic Area(NCD)</t>
  </si>
  <si>
    <t/>
  </si>
  <si>
    <t>Top 10 Products by Inventory Value</t>
  </si>
  <si>
    <t>Cold‑Chain vs Non‑Cold‑Chain</t>
  </si>
  <si>
    <t>Cold‑Chain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</si>
</sst>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quot;$&quot;#,##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6" tint="-0.499984740745262"/>
        <bgColor indexed="64"/>
      </patternFill>
    </fill>
    <fill>
      <patternFill patternType="solid">
        <fgColor theme="0"/>
        <bgColor indexed="64"/>
      </patternFill>
    </fill>
    <fill>
      <patternFill patternType="solid">
        <fgColor theme="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31">
    <xf numFmtId="0" fontId="0" fillId="0" borderId="0" xfId="0"/>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0" fillId="0" borderId="5" xfId="0" applyBorder="1"/>
    <xf numFmtId="0" fontId="0" fillId="0" borderId="1" xfId="0" applyBorder="1"/>
    <xf numFmtId="0" fontId="0" fillId="0" borderId="7" xfId="0" applyBorder="1"/>
    <xf numFmtId="0" fontId="0" fillId="0" borderId="8" xfId="0" applyBorder="1"/>
    <xf numFmtId="3" fontId="0" fillId="0" borderId="1" xfId="0" applyNumberFormat="1" applyBorder="1"/>
    <xf numFmtId="3" fontId="0" fillId="0" borderId="8" xfId="0" applyNumberFormat="1" applyBorder="1"/>
    <xf numFmtId="164" fontId="0" fillId="0" borderId="1" xfId="0" applyNumberFormat="1" applyBorder="1"/>
    <xf numFmtId="164" fontId="0" fillId="0" borderId="8" xfId="0" applyNumberFormat="1" applyBorder="1"/>
    <xf numFmtId="3" fontId="0" fillId="0" borderId="6" xfId="0" applyNumberFormat="1" applyBorder="1"/>
    <xf numFmtId="3" fontId="0" fillId="0" borderId="9" xfId="0" applyNumberFormat="1" applyBorder="1"/>
    <xf numFmtId="0" fontId="1" fillId="0" borderId="0" xfId="0" applyFont="1"/>
    <xf numFmtId="0" fontId="0" fillId="0" borderId="1" xfId="0" pivotButton="1" applyBorder="1"/>
    <xf numFmtId="0" fontId="0" fillId="0" borderId="1" xfId="0" applyBorder="1" applyAlignment="1">
      <alignment horizontal="left"/>
    </xf>
    <xf numFmtId="43" fontId="0" fillId="0" borderId="0" xfId="1" applyFont="1"/>
    <xf numFmtId="43" fontId="1" fillId="0" borderId="1" xfId="1" applyFont="1" applyBorder="1"/>
    <xf numFmtId="9" fontId="1" fillId="0" borderId="1" xfId="3" applyFont="1" applyBorder="1"/>
    <xf numFmtId="0" fontId="1" fillId="0" borderId="0" xfId="0" applyFont="1" applyAlignment="1">
      <alignment horizontal="left" indent="1"/>
    </xf>
    <xf numFmtId="0" fontId="1" fillId="0" borderId="0" xfId="0" applyFont="1" applyAlignment="1">
      <alignment horizontal="left" indent="7"/>
    </xf>
    <xf numFmtId="44" fontId="1" fillId="0" borderId="1" xfId="2" applyFont="1" applyBorder="1"/>
    <xf numFmtId="0" fontId="1" fillId="0" borderId="1" xfId="0" applyFont="1" applyBorder="1" applyAlignment="1">
      <alignment horizontal="left"/>
    </xf>
    <xf numFmtId="0" fontId="1" fillId="2" borderId="1" xfId="0" applyFont="1" applyFill="1" applyBorder="1" applyAlignment="1">
      <alignment horizontal="left" indent="14"/>
    </xf>
    <xf numFmtId="0" fontId="0" fillId="3" borderId="1" xfId="0" applyFill="1" applyBorder="1"/>
    <xf numFmtId="0" fontId="1" fillId="3" borderId="1" xfId="0" applyFont="1" applyFill="1" applyBorder="1"/>
    <xf numFmtId="0" fontId="1" fillId="3" borderId="0" xfId="0" applyFont="1" applyFill="1"/>
    <xf numFmtId="164" fontId="1" fillId="3" borderId="1" xfId="0" applyNumberFormat="1" applyFont="1" applyFill="1" applyBorder="1"/>
    <xf numFmtId="0" fontId="0" fillId="4" borderId="1" xfId="0" applyFill="1" applyBorder="1"/>
    <xf numFmtId="0" fontId="0" fillId="5" borderId="0" xfId="0" applyFill="1"/>
  </cellXfs>
  <cellStyles count="4">
    <cellStyle name="Comma" xfId="1" builtinId="3"/>
    <cellStyle name="Currency" xfId="2" builtinId="4"/>
    <cellStyle name="Normal" xfId="0" builtinId="0"/>
    <cellStyle name="Percent" xfId="3" builtinId="5"/>
  </cellStyles>
  <dxfs count="15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499984740745262"/>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ill>
        <patternFill patternType="solid">
          <bgColor theme="6" tint="-0.499984740745262"/>
        </patternFill>
      </fill>
    </dxf>
    <dxf>
      <fill>
        <patternFill patternType="solid">
          <bgColor theme="6" tint="-0.499984740745262"/>
        </patternFill>
      </fill>
    </dxf>
    <dxf>
      <fill>
        <patternFill>
          <bgColor theme="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z val="10"/>
        <color rgb="FF040236"/>
        <name val="Cambria"/>
        <family val="1"/>
        <scheme val="major"/>
      </font>
      <fill>
        <gradientFill degree="90">
          <stop position="0">
            <color rgb="FF040236"/>
          </stop>
          <stop position="1">
            <color rgb="FF040236"/>
          </stop>
        </gradientFill>
      </fill>
      <border diagonalUp="0" diagonalDown="0">
        <left/>
        <right/>
        <top/>
        <bottom/>
        <vertical/>
        <horizontal/>
      </border>
    </dxf>
    <dxf>
      <font>
        <b/>
        <i val="0"/>
        <sz val="10"/>
        <color rgb="FF040236"/>
        <name val="Cambria"/>
        <family val="1"/>
        <scheme val="major"/>
      </font>
      <fill>
        <patternFill patternType="solid">
          <fgColor rgb="FF040236"/>
          <bgColor rgb="FF040236"/>
        </patternFill>
      </fill>
      <border diagonalUp="0" diagonalDown="0">
        <left/>
        <right/>
        <top/>
        <bottom/>
        <vertical/>
        <horizontal/>
      </border>
    </dxf>
    <dxf>
      <font>
        <b/>
        <i val="0"/>
        <sz val="10"/>
        <color theme="0"/>
        <name val="Cambria"/>
        <family val="1"/>
        <scheme val="major"/>
      </font>
      <fill>
        <gradientFill degree="90">
          <stop position="0">
            <color rgb="FF040236"/>
          </stop>
          <stop position="1">
            <color rgb="FF040236"/>
          </stop>
        </gradientFill>
      </fill>
      <border diagonalUp="0" diagonalDown="0">
        <left/>
        <right/>
        <top/>
        <bottom/>
        <vertical/>
        <horizontal/>
      </border>
    </dxf>
    <dxf>
      <font>
        <b/>
        <i val="0"/>
        <sz val="10"/>
        <color rgb="FF040236"/>
        <name val="Cambria"/>
        <family val="1"/>
        <scheme val="major"/>
      </font>
      <fill>
        <patternFill>
          <bgColor rgb="FF002060"/>
        </patternFill>
      </fill>
      <border diagonalUp="0" diagonalDown="0">
        <left/>
        <right/>
        <top/>
        <bottom/>
        <vertical/>
        <horizontal/>
      </border>
    </dxf>
    <dxf>
      <font>
        <b/>
        <i val="0"/>
        <sz val="10"/>
        <color theme="0"/>
        <name val="Cambria"/>
        <family val="1"/>
        <scheme val="major"/>
      </font>
      <fill>
        <patternFill>
          <fgColor rgb="FF040236"/>
          <bgColor rgb="FF040236"/>
        </patternFill>
      </fill>
      <border diagonalUp="0" diagonalDown="0">
        <left/>
        <right/>
        <top/>
        <bottom/>
        <vertical/>
        <horizontal/>
      </border>
    </dxf>
    <dxf>
      <font>
        <b/>
        <i val="0"/>
        <sz val="10"/>
        <color rgb="FF040236"/>
        <name val="Cambria"/>
        <family val="1"/>
        <scheme val="major"/>
      </font>
      <fill>
        <patternFill>
          <bgColor rgb="FF002060"/>
        </patternFill>
      </fill>
      <border diagonalUp="0" diagonalDown="0">
        <left/>
        <right/>
        <top/>
        <bottom/>
        <vertical/>
        <horizontal/>
      </border>
    </dxf>
    <dxf>
      <font>
        <b/>
        <i val="0"/>
        <sz val="10"/>
        <color theme="0"/>
        <name val="Cambria"/>
        <family val="1"/>
        <scheme val="major"/>
      </font>
      <fill>
        <patternFill>
          <fgColor rgb="FF040236"/>
          <bgColor rgb="FF040236"/>
        </patternFill>
      </fill>
      <border diagonalUp="0" diagonalDown="0">
        <left/>
        <right/>
        <top/>
        <bottom/>
        <vertical/>
        <horizontal/>
      </border>
    </dxf>
    <dxf>
      <font>
        <b/>
        <i val="0"/>
        <sz val="10"/>
        <color theme="1"/>
        <name val="Cambria"/>
        <family val="1"/>
        <scheme val="major"/>
      </font>
      <fill>
        <patternFill>
          <bgColor rgb="FF002060"/>
        </patternFill>
      </fill>
      <border diagonalUp="0" diagonalDown="0">
        <left/>
        <right/>
        <top/>
        <bottom/>
        <vertical/>
        <horizontal/>
      </border>
    </dxf>
    <dxf>
      <font>
        <b/>
        <i val="0"/>
        <sz val="10"/>
        <color theme="0"/>
        <name val="Cambria"/>
        <family val="1"/>
        <scheme val="major"/>
      </font>
      <border diagonalUp="0" diagonalDown="0">
        <left/>
        <right/>
        <top/>
        <bottom/>
        <vertical/>
        <horizontal/>
      </border>
    </dxf>
    <dxf>
      <font>
        <b/>
        <i val="0"/>
        <sz val="10"/>
        <color theme="1"/>
        <name val="Cambria"/>
        <family val="1"/>
        <scheme val="major"/>
      </font>
      <fill>
        <patternFill>
          <bgColor rgb="FF002060"/>
        </patternFill>
      </fill>
      <border diagonalUp="0" diagonalDown="0">
        <left/>
        <right/>
        <top/>
        <bottom/>
        <vertical/>
        <horizontal/>
      </border>
    </dxf>
    <dxf>
      <font>
        <b/>
        <i val="0"/>
        <sz val="10"/>
        <color theme="0"/>
        <name val="Cambria"/>
        <family val="1"/>
        <scheme val="major"/>
      </font>
      <border>
        <bottom style="thin">
          <color theme="4"/>
        </bottom>
        <vertical/>
        <horizontal/>
      </border>
    </dxf>
    <dxf>
      <font>
        <b/>
        <i val="0"/>
        <sz val="10"/>
        <color rgb="FF002060"/>
        <name val="Cambria"/>
        <family val="1"/>
        <scheme val="major"/>
      </font>
      <fill>
        <patternFill>
          <bgColor rgb="FF002060"/>
        </patternFill>
      </fill>
      <border diagonalUp="0" diagonalDown="0">
        <left/>
        <right/>
        <top/>
        <bottom/>
        <vertical/>
        <horizontal/>
      </border>
    </dxf>
    <dxf>
      <font>
        <b/>
        <i val="0"/>
        <sz val="10"/>
        <color theme="0"/>
        <name val="Cambria"/>
        <family val="1"/>
        <scheme val="major"/>
      </font>
      <border diagonalUp="0" diagonalDown="0">
        <left/>
        <right/>
        <top/>
        <bottom/>
        <vertical/>
        <horizontal/>
      </border>
    </dxf>
    <dxf>
      <font>
        <b/>
        <i val="0"/>
        <sz val="10"/>
        <color theme="1"/>
        <name val="Cambria"/>
        <family val="1"/>
        <scheme val="major"/>
      </font>
      <fill>
        <patternFill>
          <bgColor rgb="FF002060"/>
        </patternFill>
      </fill>
      <border diagonalUp="0" diagonalDown="0">
        <left/>
        <right/>
        <top/>
        <bottom/>
        <vertical/>
        <horizontal/>
      </border>
    </dxf>
  </dxfs>
  <tableStyles count="8" defaultTableStyle="TableStyleMedium9" defaultPivotStyle="PivotStyleLight16">
    <tableStyle name="Invisible" pivot="0" table="0" count="0" xr9:uid="{14FD9647-03C2-4E4A-B927-5400D48A8518}"/>
    <tableStyle name="MjrSlicer" pivot="0" table="0" count="10" xr9:uid="{FDFBE108-5644-47CA-82C9-B1716619FA40}">
      <tableStyleElement type="wholeTable" dxfId="149"/>
      <tableStyleElement type="headerRow" dxfId="148"/>
    </tableStyle>
    <tableStyle name="MjrSlicer 2" pivot="0" table="0" count="10" xr9:uid="{5516BEF9-9250-4799-AC5A-D43143DD99A8}">
      <tableStyleElement type="wholeTable" dxfId="147"/>
      <tableStyleElement type="headerRow" dxfId="146"/>
    </tableStyle>
    <tableStyle name="MjrSlicer 3" pivot="0" table="0" count="10" xr9:uid="{DB2606DE-D11A-4023-9DB9-2B1278ECA233}">
      <tableStyleElement type="wholeTable" dxfId="145"/>
      <tableStyleElement type="headerRow" dxfId="144"/>
    </tableStyle>
    <tableStyle name="MjrSlicer 4" pivot="0" table="0" count="10" xr9:uid="{8384F671-6D57-4A85-B2E1-438EC5360B15}">
      <tableStyleElement type="wholeTable" dxfId="143"/>
      <tableStyleElement type="headerRow" dxfId="142"/>
    </tableStyle>
    <tableStyle name="MjrSlicer 4 2" pivot="0" table="0" count="10" xr9:uid="{704AC7C5-A6DB-42EB-9E60-50F4CF2FBA3B}">
      <tableStyleElement type="wholeTable" dxfId="141"/>
      <tableStyleElement type="headerRow" dxfId="140"/>
    </tableStyle>
    <tableStyle name="MjrSlicer 4 2 2" pivot="0" table="0" count="10" xr9:uid="{A694BAA7-C5F4-45D9-9FD2-3DE9A8647106}">
      <tableStyleElement type="wholeTable" dxfId="139"/>
      <tableStyleElement type="headerRow" dxfId="138"/>
    </tableStyle>
    <tableStyle name="MjrSlicer 4 2 2 2" pivot="0" table="0" count="10" xr9:uid="{5FC3F8AB-7564-465D-B06A-CB5C1FCF345E}">
      <tableStyleElement type="wholeTable" dxfId="137"/>
      <tableStyleElement type="headerRow" dxfId="136"/>
    </tableStyle>
  </tableStyles>
  <colors>
    <mruColors>
      <color rgb="FF001D3D"/>
      <color rgb="FF0A2472"/>
      <color rgb="FFFFBA08"/>
      <color rgb="FF10123B"/>
      <color rgb="FF12133D"/>
      <color rgb="FF12143D"/>
      <color rgb="FF1F2357"/>
      <color rgb="FF040236"/>
      <color rgb="FF1F2557"/>
      <color rgb="FF4DD0E1"/>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jrSlicer">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MjrSlicer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MjrSlicer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jrSlicer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jrSlicer 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jrSlicer 4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jrSlicer 4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[health_inventory_by_country dashboard.xlsx]Pivottable!PivotTable8</c:name>
    <c:fmtId val="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i="0" u="none" strike="noStrike" baseline="0">
                <a:solidFill>
                  <a:schemeClr val="bg1"/>
                </a:solidFill>
                <a:effectLst/>
              </a:rPr>
              <a:t>Inventory Value by Country</a:t>
            </a:r>
            <a:endParaRPr lang="en-US" b="1">
              <a:solidFill>
                <a:schemeClr val="bg1"/>
              </a:solidFill>
            </a:endParaRPr>
          </a:p>
        </c:rich>
      </c:tx>
      <c:layout>
        <c:manualLayout>
          <c:xMode val="edge"/>
          <c:yMode val="edge"/>
          <c:x val="0.18002161436232597"/>
          <c:y val="2.7272727272727271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BarType val="both"/>
            <c:errValType val="stdErr"/>
            <c:noEndCap val="0"/>
            <c:spPr>
              <a:noFill/>
              <a:ln w="9525">
                <a:solidFill>
                  <a:schemeClr val="dk1">
                    <a:lumMod val="50000"/>
                    <a:lumOff val="50000"/>
                  </a:schemeClr>
                </a:solidFill>
                <a:round/>
              </a:ln>
              <a:effectLst/>
            </c:spPr>
          </c:errBars>
          <c:cat>
            <c:strRef>
              <c:f>Pivottable!$A$27:$A$32</c:f>
              <c:strCache>
                <c:ptCount val="5"/>
                <c:pt idx="0">
                  <c:v>Ghana</c:v>
                </c:pt>
                <c:pt idx="1">
                  <c:v>Kenya</c:v>
                </c:pt>
                <c:pt idx="2">
                  <c:v>Nigeria</c:v>
                </c:pt>
                <c:pt idx="3">
                  <c:v>Tanzania</c:v>
                </c:pt>
                <c:pt idx="4">
                  <c:v>Uganda</c:v>
                </c:pt>
              </c:strCache>
            </c:strRef>
          </c:cat>
          <c:val>
            <c:numRef>
              <c:f>Pivottable!$B$27:$B$32</c:f>
              <c:numCache>
                <c:formatCode>"$"#,##0.00</c:formatCode>
                <c:ptCount val="5"/>
                <c:pt idx="0">
                  <c:v>64401.9</c:v>
                </c:pt>
                <c:pt idx="1">
                  <c:v>55540.310000000005</c:v>
                </c:pt>
                <c:pt idx="2">
                  <c:v>33181.699999999997</c:v>
                </c:pt>
                <c:pt idx="3">
                  <c:v>75358.95</c:v>
                </c:pt>
                <c:pt idx="4">
                  <c:v>44717.52</c:v>
                </c:pt>
              </c:numCache>
            </c:numRef>
          </c:val>
          <c:extLst>
            <c:ext xmlns:c16="http://schemas.microsoft.com/office/drawing/2014/chart" uri="{C3380CC4-5D6E-409C-BE32-E72D297353CC}">
              <c16:uniqueId val="{00000000-E1E3-4857-A2FC-4BA3769D5D31}"/>
            </c:ext>
          </c:extLst>
        </c:ser>
        <c:dLbls>
          <c:dLblPos val="outEnd"/>
          <c:showLegendKey val="0"/>
          <c:showVal val="1"/>
          <c:showCatName val="0"/>
          <c:showSerName val="0"/>
          <c:showPercent val="0"/>
          <c:showBubbleSize val="0"/>
        </c:dLbls>
        <c:gapWidth val="50"/>
        <c:overlap val="2"/>
        <c:axId val="1551494239"/>
        <c:axId val="1551491359"/>
      </c:barChart>
      <c:catAx>
        <c:axId val="1551494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551491359"/>
        <c:crosses val="autoZero"/>
        <c:auto val="1"/>
        <c:lblAlgn val="ctr"/>
        <c:lblOffset val="100"/>
        <c:noMultiLvlLbl val="0"/>
      </c:catAx>
      <c:valAx>
        <c:axId val="1551491359"/>
        <c:scaling>
          <c:orientation val="minMax"/>
        </c:scaling>
        <c:delete val="1"/>
        <c:axPos val="b"/>
        <c:numFmt formatCode="&quot;$&quot;#,##0.00" sourceLinked="1"/>
        <c:majorTickMark val="out"/>
        <c:minorTickMark val="none"/>
        <c:tickLblPos val="nextTo"/>
        <c:crossAx val="155149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[health_inventory_by_country dashboard.xlsx]Pivottable!PivotTable10</c:name>
    <c:fmtId val="20"/>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437445319335098E-2"/>
          <c:y val="0.14803258967629046"/>
          <c:w val="0.90256255468066493"/>
          <c:h val="0.55135024788568099"/>
        </c:manualLayout>
      </c:layout>
      <c:bar3DChart>
        <c:barDir val="col"/>
        <c:grouping val="clustered"/>
        <c:varyColors val="0"/>
        <c:ser>
          <c:idx val="0"/>
          <c:order val="0"/>
          <c:tx>
            <c:strRef>
              <c:f>Pivottable!$B$14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Pivottable!$A$15:$A$23</c:f>
              <c:strCache>
                <c:ptCount val="8"/>
                <c:pt idx="0">
                  <c:v>Anti-Infective</c:v>
                </c:pt>
                <c:pt idx="1">
                  <c:v>HIV</c:v>
                </c:pt>
                <c:pt idx="2">
                  <c:v>Malaria</c:v>
                </c:pt>
                <c:pt idx="3">
                  <c:v>MNCH</c:v>
                </c:pt>
                <c:pt idx="4">
                  <c:v>NCD</c:v>
                </c:pt>
                <c:pt idx="5">
                  <c:v>Reproductive</c:v>
                </c:pt>
                <c:pt idx="6">
                  <c:v>TB</c:v>
                </c:pt>
                <c:pt idx="7">
                  <c:v>Vaccine</c:v>
                </c:pt>
              </c:strCache>
            </c:strRef>
          </c:cat>
          <c:val>
            <c:numRef>
              <c:f>Pivottable!$B$15:$B$23</c:f>
              <c:numCache>
                <c:formatCode>"$"#,##0.00</c:formatCode>
                <c:ptCount val="8"/>
                <c:pt idx="0">
                  <c:v>13420.77</c:v>
                </c:pt>
                <c:pt idx="1">
                  <c:v>46183.899999999994</c:v>
                </c:pt>
                <c:pt idx="2">
                  <c:v>34387.850000000006</c:v>
                </c:pt>
                <c:pt idx="3">
                  <c:v>9430.76</c:v>
                </c:pt>
                <c:pt idx="4">
                  <c:v>90346.54</c:v>
                </c:pt>
                <c:pt idx="5">
                  <c:v>11253.51</c:v>
                </c:pt>
                <c:pt idx="6">
                  <c:v>5000.1000000000004</c:v>
                </c:pt>
                <c:pt idx="7">
                  <c:v>63176.95</c:v>
                </c:pt>
              </c:numCache>
            </c:numRef>
          </c:val>
          <c:extLst>
            <c:ext xmlns:c16="http://schemas.microsoft.com/office/drawing/2014/chart" uri="{C3380CC4-5D6E-409C-BE32-E72D297353CC}">
              <c16:uniqueId val="{00000000-C06A-4C91-BDEF-340CD70E069E}"/>
            </c:ext>
          </c:extLst>
        </c:ser>
        <c:dLbls>
          <c:showLegendKey val="0"/>
          <c:showVal val="1"/>
          <c:showCatName val="0"/>
          <c:showSerName val="0"/>
          <c:showPercent val="0"/>
          <c:showBubbleSize val="0"/>
        </c:dLbls>
        <c:gapWidth val="84"/>
        <c:gapDepth val="53"/>
        <c:shape val="box"/>
        <c:axId val="1234794143"/>
        <c:axId val="1234783583"/>
        <c:axId val="0"/>
      </c:bar3DChart>
      <c:catAx>
        <c:axId val="1234794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4783583"/>
        <c:crosses val="autoZero"/>
        <c:auto val="1"/>
        <c:lblAlgn val="ctr"/>
        <c:lblOffset val="100"/>
        <c:noMultiLvlLbl val="0"/>
      </c:catAx>
      <c:valAx>
        <c:axId val="1234783583"/>
        <c:scaling>
          <c:orientation val="minMax"/>
        </c:scaling>
        <c:delete val="1"/>
        <c:axPos val="l"/>
        <c:numFmt formatCode="&quot;$&quot;#,##0.00" sourceLinked="1"/>
        <c:majorTickMark val="out"/>
        <c:minorTickMark val="none"/>
        <c:tickLblPos val="nextTo"/>
        <c:crossAx val="123479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[health_inventory_by_country dashboard.xlsx]Pivottable!PivotTable13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Top 10 Products by Inventory Value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Pivottable!$H$27</c:f>
              <c:strCache>
                <c:ptCount val="1"/>
                <c:pt idx="0">
                  <c:v>Total</c:v>
                </c:pt>
              </c:strCache>
            </c:strRef>
          </c:tx>
          <c:spPr>
            <a:solidFill>
              <a:schemeClr val="tx2">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Pivottable!$G$28:$G$38</c:f>
              <c:strCache>
                <c:ptCount val="10"/>
                <c:pt idx="0">
                  <c:v>Insulin Human 100IU/mL</c:v>
                </c:pt>
                <c:pt idx="1">
                  <c:v>Salbutamol Inhaler 100mcg</c:v>
                </c:pt>
                <c:pt idx="2">
                  <c:v>Tenofovir/Lamivudine/Dolutegravir</c:v>
                </c:pt>
                <c:pt idx="3">
                  <c:v>Artemether-Lumefantrine 20/120</c:v>
                </c:pt>
                <c:pt idx="4">
                  <c:v>Yellow Fever Vaccine</c:v>
                </c:pt>
                <c:pt idx="5">
                  <c:v>Pentavalent Vaccine</c:v>
                </c:pt>
                <c:pt idx="6">
                  <c:v>HIV Rapid Test Kit</c:v>
                </c:pt>
                <c:pt idx="7">
                  <c:v>Ceftriaxone 1g Injection</c:v>
                </c:pt>
                <c:pt idx="8">
                  <c:v>Measles-Rubella Vaccine</c:v>
                </c:pt>
                <c:pt idx="9">
                  <c:v>Malaria RDT Kit</c:v>
                </c:pt>
              </c:strCache>
            </c:strRef>
          </c:cat>
          <c:val>
            <c:numRef>
              <c:f>Pivottable!$H$28:$H$38</c:f>
              <c:numCache>
                <c:formatCode>"$"#,##0.00</c:formatCode>
                <c:ptCount val="10"/>
                <c:pt idx="0">
                  <c:v>54789</c:v>
                </c:pt>
                <c:pt idx="1">
                  <c:v>34264.800000000003</c:v>
                </c:pt>
                <c:pt idx="2">
                  <c:v>26942.449999999997</c:v>
                </c:pt>
                <c:pt idx="3">
                  <c:v>26350.15</c:v>
                </c:pt>
                <c:pt idx="4">
                  <c:v>22968.399999999998</c:v>
                </c:pt>
                <c:pt idx="5">
                  <c:v>22867.9</c:v>
                </c:pt>
                <c:pt idx="6">
                  <c:v>19241.45</c:v>
                </c:pt>
                <c:pt idx="7">
                  <c:v>10834.85</c:v>
                </c:pt>
                <c:pt idx="8">
                  <c:v>8932.65</c:v>
                </c:pt>
                <c:pt idx="9">
                  <c:v>8037.7000000000007</c:v>
                </c:pt>
              </c:numCache>
            </c:numRef>
          </c:val>
          <c:extLst>
            <c:ext xmlns:c16="http://schemas.microsoft.com/office/drawing/2014/chart" uri="{C3380CC4-5D6E-409C-BE32-E72D297353CC}">
              <c16:uniqueId val="{00000000-DB61-472E-9620-0C9E39E9A218}"/>
            </c:ext>
          </c:extLst>
        </c:ser>
        <c:dLbls>
          <c:showLegendKey val="0"/>
          <c:showVal val="1"/>
          <c:showCatName val="0"/>
          <c:showSerName val="0"/>
          <c:showPercent val="0"/>
          <c:showBubbleSize val="0"/>
        </c:dLbls>
        <c:gapWidth val="70"/>
        <c:gapDepth val="25"/>
        <c:shape val="box"/>
        <c:axId val="1551540319"/>
        <c:axId val="1551517279"/>
        <c:axId val="0"/>
      </c:bar3DChart>
      <c:catAx>
        <c:axId val="1551540319"/>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1517279"/>
        <c:crosses val="autoZero"/>
        <c:auto val="1"/>
        <c:lblAlgn val="ctr"/>
        <c:lblOffset val="100"/>
        <c:noMultiLvlLbl val="0"/>
      </c:catAx>
      <c:valAx>
        <c:axId val="1551517279"/>
        <c:scaling>
          <c:orientation val="minMax"/>
        </c:scaling>
        <c:delete val="1"/>
        <c:axPos val="t"/>
        <c:numFmt formatCode="&quot;$&quot;#,##0.00" sourceLinked="1"/>
        <c:majorTickMark val="out"/>
        <c:minorTickMark val="none"/>
        <c:tickLblPos val="nextTo"/>
        <c:crossAx val="155154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[health_inventory_by_country dashboard.xlsx]Pivottable!PivotTable11</c:name>
    <c:fmtId val="3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Cold‑Chain Burden by Country</a:t>
            </a:r>
            <a:endParaRPr lang="en-US" b="1">
              <a:solidFill>
                <a:schemeClr val="bg1"/>
              </a:solidFill>
            </a:endParaRPr>
          </a:p>
        </c:rich>
      </c:tx>
      <c:layout>
        <c:manualLayout>
          <c:xMode val="edge"/>
          <c:yMode val="edge"/>
          <c:x val="0.27355460572249518"/>
          <c:y val="5.29958813563030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BA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Pivottable!$H$15:$H$17</c:f>
              <c:strCache>
                <c:ptCount val="1"/>
                <c:pt idx="0">
                  <c:v>No - Sum of Inventory 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Pivottable!$G$18:$G$23</c:f>
              <c:strCache>
                <c:ptCount val="5"/>
                <c:pt idx="0">
                  <c:v>Ghana</c:v>
                </c:pt>
                <c:pt idx="1">
                  <c:v>Kenya</c:v>
                </c:pt>
                <c:pt idx="2">
                  <c:v>Nigeria</c:v>
                </c:pt>
                <c:pt idx="3">
                  <c:v>Tanzania</c:v>
                </c:pt>
                <c:pt idx="4">
                  <c:v>Uganda</c:v>
                </c:pt>
              </c:strCache>
            </c:strRef>
          </c:cat>
          <c:val>
            <c:numRef>
              <c:f>Pivottable!$H$18:$H$23</c:f>
              <c:numCache>
                <c:formatCode>"$"#,##0.00</c:formatCode>
                <c:ptCount val="5"/>
                <c:pt idx="0">
                  <c:v>49689.85</c:v>
                </c:pt>
                <c:pt idx="1">
                  <c:v>21976.010000000002</c:v>
                </c:pt>
                <c:pt idx="2">
                  <c:v>17331.7</c:v>
                </c:pt>
                <c:pt idx="3">
                  <c:v>28532.350000000006</c:v>
                </c:pt>
                <c:pt idx="4">
                  <c:v>32929.719999999994</c:v>
                </c:pt>
              </c:numCache>
            </c:numRef>
          </c:val>
          <c:extLst>
            <c:ext xmlns:c16="http://schemas.microsoft.com/office/drawing/2014/chart" uri="{C3380CC4-5D6E-409C-BE32-E72D297353CC}">
              <c16:uniqueId val="{00000000-98D7-4E12-9770-64F442150EBA}"/>
            </c:ext>
          </c:extLst>
        </c:ser>
        <c:ser>
          <c:idx val="1"/>
          <c:order val="1"/>
          <c:tx>
            <c:strRef>
              <c:f>Pivottable!$I$15:$I$17</c:f>
              <c:strCache>
                <c:ptCount val="1"/>
                <c:pt idx="0">
                  <c:v>No - Count of Cold Chain Required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Pivottable!$G$18:$G$23</c:f>
              <c:strCache>
                <c:ptCount val="5"/>
                <c:pt idx="0">
                  <c:v>Ghana</c:v>
                </c:pt>
                <c:pt idx="1">
                  <c:v>Kenya</c:v>
                </c:pt>
                <c:pt idx="2">
                  <c:v>Nigeria</c:v>
                </c:pt>
                <c:pt idx="3">
                  <c:v>Tanzania</c:v>
                </c:pt>
                <c:pt idx="4">
                  <c:v>Uganda</c:v>
                </c:pt>
              </c:strCache>
            </c:strRef>
          </c:cat>
          <c:val>
            <c:numRef>
              <c:f>Pivottable!$I$18:$I$23</c:f>
              <c:numCache>
                <c:formatCode>General</c:formatCode>
                <c:ptCount val="5"/>
                <c:pt idx="0">
                  <c:v>15</c:v>
                </c:pt>
                <c:pt idx="1">
                  <c:v>11</c:v>
                </c:pt>
                <c:pt idx="2">
                  <c:v>10</c:v>
                </c:pt>
                <c:pt idx="3">
                  <c:v>12</c:v>
                </c:pt>
                <c:pt idx="4">
                  <c:v>12</c:v>
                </c:pt>
              </c:numCache>
            </c:numRef>
          </c:val>
          <c:extLst>
            <c:ext xmlns:c16="http://schemas.microsoft.com/office/drawing/2014/chart" uri="{C3380CC4-5D6E-409C-BE32-E72D297353CC}">
              <c16:uniqueId val="{00000001-98D7-4E12-9770-64F442150EBA}"/>
            </c:ext>
          </c:extLst>
        </c:ser>
        <c:ser>
          <c:idx val="2"/>
          <c:order val="2"/>
          <c:tx>
            <c:strRef>
              <c:f>Pivottable!$J$15:$J$17</c:f>
              <c:strCache>
                <c:ptCount val="1"/>
                <c:pt idx="0">
                  <c:v>Yes - Sum of Inventory Value</c:v>
                </c:pt>
              </c:strCache>
            </c:strRef>
          </c:tx>
          <c:spPr>
            <a:solidFill>
              <a:srgbClr val="FFBA0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Pivottable!$G$18:$G$23</c:f>
              <c:strCache>
                <c:ptCount val="5"/>
                <c:pt idx="0">
                  <c:v>Ghana</c:v>
                </c:pt>
                <c:pt idx="1">
                  <c:v>Kenya</c:v>
                </c:pt>
                <c:pt idx="2">
                  <c:v>Nigeria</c:v>
                </c:pt>
                <c:pt idx="3">
                  <c:v>Tanzania</c:v>
                </c:pt>
                <c:pt idx="4">
                  <c:v>Uganda</c:v>
                </c:pt>
              </c:strCache>
            </c:strRef>
          </c:cat>
          <c:val>
            <c:numRef>
              <c:f>Pivottable!$J$18:$J$23</c:f>
              <c:numCache>
                <c:formatCode>"$"#,##0.00</c:formatCode>
                <c:ptCount val="5"/>
                <c:pt idx="0">
                  <c:v>14712.05</c:v>
                </c:pt>
                <c:pt idx="1">
                  <c:v>33564.299999999996</c:v>
                </c:pt>
                <c:pt idx="2">
                  <c:v>15850</c:v>
                </c:pt>
                <c:pt idx="3">
                  <c:v>46826.6</c:v>
                </c:pt>
                <c:pt idx="4">
                  <c:v>11787.8</c:v>
                </c:pt>
              </c:numCache>
            </c:numRef>
          </c:val>
          <c:extLst>
            <c:ext xmlns:c16="http://schemas.microsoft.com/office/drawing/2014/chart" uri="{C3380CC4-5D6E-409C-BE32-E72D297353CC}">
              <c16:uniqueId val="{00000002-98D7-4E12-9770-64F442150EBA}"/>
            </c:ext>
          </c:extLst>
        </c:ser>
        <c:ser>
          <c:idx val="3"/>
          <c:order val="3"/>
          <c:tx>
            <c:strRef>
              <c:f>Pivottable!$K$15:$K$17</c:f>
              <c:strCache>
                <c:ptCount val="1"/>
                <c:pt idx="0">
                  <c:v>Yes - Count of Cold Chain Required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Pivottable!$G$18:$G$23</c:f>
              <c:strCache>
                <c:ptCount val="5"/>
                <c:pt idx="0">
                  <c:v>Ghana</c:v>
                </c:pt>
                <c:pt idx="1">
                  <c:v>Kenya</c:v>
                </c:pt>
                <c:pt idx="2">
                  <c:v>Nigeria</c:v>
                </c:pt>
                <c:pt idx="3">
                  <c:v>Tanzania</c:v>
                </c:pt>
                <c:pt idx="4">
                  <c:v>Uganda</c:v>
                </c:pt>
              </c:strCache>
            </c:strRef>
          </c:cat>
          <c:val>
            <c:numRef>
              <c:f>Pivottable!$K$18:$K$23</c:f>
              <c:numCache>
                <c:formatCode>General</c:formatCode>
                <c:ptCount val="5"/>
                <c:pt idx="0">
                  <c:v>5</c:v>
                </c:pt>
                <c:pt idx="1">
                  <c:v>6</c:v>
                </c:pt>
                <c:pt idx="2">
                  <c:v>3</c:v>
                </c:pt>
                <c:pt idx="3">
                  <c:v>5</c:v>
                </c:pt>
                <c:pt idx="4">
                  <c:v>4</c:v>
                </c:pt>
              </c:numCache>
            </c:numRef>
          </c:val>
          <c:extLst>
            <c:ext xmlns:c16="http://schemas.microsoft.com/office/drawing/2014/chart" uri="{C3380CC4-5D6E-409C-BE32-E72D297353CC}">
              <c16:uniqueId val="{00000003-98D7-4E12-9770-64F442150EBA}"/>
            </c:ext>
          </c:extLst>
        </c:ser>
        <c:dLbls>
          <c:dLblPos val="ctr"/>
          <c:showLegendKey val="0"/>
          <c:showVal val="1"/>
          <c:showCatName val="0"/>
          <c:showSerName val="0"/>
          <c:showPercent val="0"/>
          <c:showBubbleSize val="0"/>
        </c:dLbls>
        <c:gapWidth val="48"/>
        <c:overlap val="36"/>
        <c:axId val="1484884575"/>
        <c:axId val="1484886015"/>
      </c:barChart>
      <c:catAx>
        <c:axId val="1484884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4886015"/>
        <c:crosses val="autoZero"/>
        <c:auto val="1"/>
        <c:lblAlgn val="ctr"/>
        <c:lblOffset val="100"/>
        <c:noMultiLvlLbl val="0"/>
      </c:catAx>
      <c:valAx>
        <c:axId val="1484886015"/>
        <c:scaling>
          <c:orientation val="minMax"/>
        </c:scaling>
        <c:delete val="1"/>
        <c:axPos val="b"/>
        <c:numFmt formatCode="&quot;$&quot;#,##0.00" sourceLinked="1"/>
        <c:majorTickMark val="out"/>
        <c:minorTickMark val="none"/>
        <c:tickLblPos val="nextTo"/>
        <c:crossAx val="148488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[health_inventory_by_country dashboard.xlsx]Pivottable!PivotTable4</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pivotFmt>
      <c:pivotFmt>
        <c:idx val="6"/>
        <c:spPr>
          <a:solidFill>
            <a:srgbClr val="00B050"/>
          </a:solidFill>
          <a:ln w="19050">
            <a:solidFill>
              <a:schemeClr val="lt1"/>
            </a:solidFill>
          </a:ln>
          <a:effectLst/>
        </c:spPr>
      </c:pivotFmt>
    </c:pivotFmts>
    <c:plotArea>
      <c:layout/>
      <c:doughnutChart>
        <c:varyColors val="1"/>
        <c:ser>
          <c:idx val="0"/>
          <c:order val="0"/>
          <c:tx>
            <c:strRef>
              <c:f>Pivottable!$H$42</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2589-476F-B5BF-DF5810430A9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2589-476F-B5BF-DF5810430A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Pivottable!$G$43:$G$45</c:f>
              <c:strCache>
                <c:ptCount val="2"/>
                <c:pt idx="0">
                  <c:v>No</c:v>
                </c:pt>
                <c:pt idx="1">
                  <c:v>Yes</c:v>
                </c:pt>
              </c:strCache>
            </c:strRef>
          </c:cat>
          <c:val>
            <c:numRef>
              <c:f>Pivottable!$H$43:$H$45</c:f>
              <c:numCache>
                <c:formatCode>"$"#,##0.00</c:formatCode>
                <c:ptCount val="2"/>
                <c:pt idx="0">
                  <c:v>150459.62999999998</c:v>
                </c:pt>
                <c:pt idx="1">
                  <c:v>122740.75</c:v>
                </c:pt>
              </c:numCache>
            </c:numRef>
          </c:val>
          <c:extLst>
            <c:ext xmlns:c16="http://schemas.microsoft.com/office/drawing/2014/chart" uri="{C3380CC4-5D6E-409C-BE32-E72D297353CC}">
              <c16:uniqueId val="{00000004-2589-476F-B5BF-DF5810430A98}"/>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image" Target="../media/image19.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5"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18.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image" Target="../media/image17.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0.svg"/></Relationships>
</file>

<file path=xl/drawings/drawing1.xml><?xml version="1.0" encoding="utf-8"?>
<xdr:wsDr xmlns:xdr="http://schemas.openxmlformats.org/drawingml/2006/spreadsheetDrawing" xmlns:a="http://schemas.openxmlformats.org/drawingml/2006/main">
  <xdr:twoCellAnchor>
    <xdr:from>
      <xdr:col>3</xdr:col>
      <xdr:colOff>105832</xdr:colOff>
      <xdr:row>2</xdr:row>
      <xdr:rowOff>39149</xdr:rowOff>
    </xdr:from>
    <xdr:to>
      <xdr:col>28</xdr:col>
      <xdr:colOff>451660</xdr:colOff>
      <xdr:row>52</xdr:row>
      <xdr:rowOff>52916</xdr:rowOff>
    </xdr:to>
    <xdr:sp macro="" textlink="">
      <xdr:nvSpPr>
        <xdr:cNvPr id="2" name="Rectangle: Rounded Corners 1">
          <a:extLst>
            <a:ext uri="{FF2B5EF4-FFF2-40B4-BE49-F238E27FC236}">
              <a16:creationId xmlns:a16="http://schemas.microsoft.com/office/drawing/2014/main" id="{CC45D9AA-977B-7345-C58C-7572AD824C03}"/>
            </a:ext>
          </a:extLst>
        </xdr:cNvPr>
        <xdr:cNvSpPr/>
      </xdr:nvSpPr>
      <xdr:spPr>
        <a:xfrm>
          <a:off x="1947332" y="398982"/>
          <a:ext cx="15691661" cy="9009601"/>
        </a:xfrm>
        <a:prstGeom prst="roundRect">
          <a:avLst>
            <a:gd name="adj" fmla="val 8052"/>
          </a:avLst>
        </a:prstGeom>
        <a:solidFill>
          <a:srgbClr val="001D3D"/>
        </a:solidFill>
        <a:ln>
          <a:noFill/>
        </a:ln>
        <a:effectLst>
          <a:outerShdw blurRad="444500" dist="190500" dir="8100000" algn="t" rotWithShape="0">
            <a:prstClr val="black">
              <a:alpha val="71000"/>
            </a:prstClr>
          </a:outerShdw>
        </a:effectLst>
        <a:scene3d>
          <a:camera prst="orthographicFront">
            <a:rot lat="0" lon="0" rev="0"/>
          </a:camera>
          <a:lightRig rig="glow" dir="t">
            <a:rot lat="0" lon="0" rev="14100000"/>
          </a:lightRig>
        </a:scene3d>
        <a:sp3d extrusionH="31750" prstMaterial="softEdge">
          <a:bevelT w="158750" h="82550" prst="artDeco"/>
          <a:extrusionClr>
            <a:srgbClr val="040236"/>
          </a:extrusion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390073</xdr:colOff>
      <xdr:row>2</xdr:row>
      <xdr:rowOff>163286</xdr:rowOff>
    </xdr:from>
    <xdr:to>
      <xdr:col>14</xdr:col>
      <xdr:colOff>517072</xdr:colOff>
      <xdr:row>9</xdr:row>
      <xdr:rowOff>9070</xdr:rowOff>
    </xdr:to>
    <xdr:sp macro="" textlink="">
      <xdr:nvSpPr>
        <xdr:cNvPr id="4" name="Rectangle: Rounded Corners 3">
          <a:extLst>
            <a:ext uri="{FF2B5EF4-FFF2-40B4-BE49-F238E27FC236}">
              <a16:creationId xmlns:a16="http://schemas.microsoft.com/office/drawing/2014/main" id="{0B975625-4393-B502-0AFA-64EC966B4695}"/>
            </a:ext>
          </a:extLst>
        </xdr:cNvPr>
        <xdr:cNvSpPr/>
      </xdr:nvSpPr>
      <xdr:spPr>
        <a:xfrm>
          <a:off x="4644573" y="163286"/>
          <a:ext cx="2558142" cy="1115784"/>
        </a:xfrm>
        <a:prstGeom prst="roundRect">
          <a:avLst>
            <a:gd name="adj" fmla="val 28412"/>
          </a:avLst>
        </a:prstGeom>
        <a:solidFill>
          <a:srgbClr val="040236"/>
        </a:solidFill>
        <a:ln>
          <a:noFill/>
        </a:ln>
        <a:effectLst>
          <a:outerShdw blurRad="444500" dist="190500" dir="8100000" algn="t" rotWithShape="0">
            <a:prstClr val="black">
              <a:alpha val="8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36891</xdr:colOff>
      <xdr:row>2</xdr:row>
      <xdr:rowOff>172357</xdr:rowOff>
    </xdr:from>
    <xdr:to>
      <xdr:col>19</xdr:col>
      <xdr:colOff>84063</xdr:colOff>
      <xdr:row>8</xdr:row>
      <xdr:rowOff>172358</xdr:rowOff>
    </xdr:to>
    <xdr:sp macro="" textlink="">
      <xdr:nvSpPr>
        <xdr:cNvPr id="5" name="Rectangle: Rounded Corners 4">
          <a:extLst>
            <a:ext uri="{FF2B5EF4-FFF2-40B4-BE49-F238E27FC236}">
              <a16:creationId xmlns:a16="http://schemas.microsoft.com/office/drawing/2014/main" id="{6FD2273B-69A8-3E7C-031B-F051F905C5C0}"/>
            </a:ext>
          </a:extLst>
        </xdr:cNvPr>
        <xdr:cNvSpPr/>
      </xdr:nvSpPr>
      <xdr:spPr>
        <a:xfrm>
          <a:off x="7352091" y="172357"/>
          <a:ext cx="2485572" cy="1104901"/>
        </a:xfrm>
        <a:prstGeom prst="roundRect">
          <a:avLst>
            <a:gd name="adj" fmla="val 28412"/>
          </a:avLst>
        </a:prstGeom>
        <a:solidFill>
          <a:srgbClr val="040236"/>
        </a:solidFill>
        <a:ln>
          <a:noFill/>
        </a:ln>
        <a:effectLst>
          <a:outerShdw blurRad="444500" dist="190500" dir="8100000" algn="t" rotWithShape="0">
            <a:prstClr val="black">
              <a:alpha val="7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213482</xdr:colOff>
      <xdr:row>3</xdr:row>
      <xdr:rowOff>9071</xdr:rowOff>
    </xdr:from>
    <xdr:to>
      <xdr:col>23</xdr:col>
      <xdr:colOff>260653</xdr:colOff>
      <xdr:row>9</xdr:row>
      <xdr:rowOff>32053</xdr:rowOff>
    </xdr:to>
    <xdr:sp macro="" textlink="">
      <xdr:nvSpPr>
        <xdr:cNvPr id="6" name="Rectangle: Rounded Corners 5">
          <a:extLst>
            <a:ext uri="{FF2B5EF4-FFF2-40B4-BE49-F238E27FC236}">
              <a16:creationId xmlns:a16="http://schemas.microsoft.com/office/drawing/2014/main" id="{FE1104CB-22D1-2C87-3EC4-2E54C0AAA8AB}"/>
            </a:ext>
          </a:extLst>
        </xdr:cNvPr>
        <xdr:cNvSpPr/>
      </xdr:nvSpPr>
      <xdr:spPr>
        <a:xfrm>
          <a:off x="9967082" y="193221"/>
          <a:ext cx="2485571" cy="1127882"/>
        </a:xfrm>
        <a:prstGeom prst="roundRect">
          <a:avLst>
            <a:gd name="adj" fmla="val 28412"/>
          </a:avLst>
        </a:prstGeom>
        <a:solidFill>
          <a:srgbClr val="040236"/>
        </a:solidFill>
        <a:ln>
          <a:noFill/>
        </a:ln>
        <a:effectLst>
          <a:outerShdw blurRad="444500" dist="190500" dir="8100000" algn="t" rotWithShape="0">
            <a:prstClr val="black">
              <a:alpha val="7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390072</xdr:colOff>
      <xdr:row>2</xdr:row>
      <xdr:rowOff>145144</xdr:rowOff>
    </xdr:from>
    <xdr:to>
      <xdr:col>28</xdr:col>
      <xdr:colOff>244928</xdr:colOff>
      <xdr:row>9</xdr:row>
      <xdr:rowOff>18144</xdr:rowOff>
    </xdr:to>
    <xdr:sp macro="" textlink="">
      <xdr:nvSpPr>
        <xdr:cNvPr id="7" name="Rectangle: Rounded Corners 6">
          <a:extLst>
            <a:ext uri="{FF2B5EF4-FFF2-40B4-BE49-F238E27FC236}">
              <a16:creationId xmlns:a16="http://schemas.microsoft.com/office/drawing/2014/main" id="{20649E0A-DCA4-C897-9516-12065F5972BB}"/>
            </a:ext>
          </a:extLst>
        </xdr:cNvPr>
        <xdr:cNvSpPr/>
      </xdr:nvSpPr>
      <xdr:spPr>
        <a:xfrm>
          <a:off x="12582072" y="145144"/>
          <a:ext cx="2902856" cy="1162050"/>
        </a:xfrm>
        <a:prstGeom prst="roundRect">
          <a:avLst>
            <a:gd name="adj" fmla="val 37110"/>
          </a:avLst>
        </a:prstGeom>
        <a:solidFill>
          <a:srgbClr val="040236"/>
        </a:solidFill>
        <a:ln>
          <a:noFill/>
        </a:ln>
        <a:effectLst>
          <a:outerShdw blurRad="444500" dist="190500" dir="8100000" algn="t" rotWithShape="0">
            <a:prstClr val="black">
              <a:alpha val="7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243417</xdr:colOff>
      <xdr:row>9</xdr:row>
      <xdr:rowOff>108856</xdr:rowOff>
    </xdr:from>
    <xdr:to>
      <xdr:col>15</xdr:col>
      <xdr:colOff>10583</xdr:colOff>
      <xdr:row>28</xdr:row>
      <xdr:rowOff>18143</xdr:rowOff>
    </xdr:to>
    <xdr:sp macro="" textlink="">
      <xdr:nvSpPr>
        <xdr:cNvPr id="8" name="Rectangle: Rounded Corners 7">
          <a:extLst>
            <a:ext uri="{FF2B5EF4-FFF2-40B4-BE49-F238E27FC236}">
              <a16:creationId xmlns:a16="http://schemas.microsoft.com/office/drawing/2014/main" id="{07E3EC0A-4F24-F3E3-5F2B-C9124C58840A}"/>
            </a:ext>
          </a:extLst>
        </xdr:cNvPr>
        <xdr:cNvSpPr/>
      </xdr:nvSpPr>
      <xdr:spPr>
        <a:xfrm>
          <a:off x="4540250" y="1728106"/>
          <a:ext cx="4677833" cy="3327704"/>
        </a:xfrm>
        <a:prstGeom prst="roundRect">
          <a:avLst>
            <a:gd name="adj" fmla="val 13312"/>
          </a:avLst>
        </a:prstGeom>
        <a:solidFill>
          <a:srgbClr val="040236"/>
        </a:solidFill>
        <a:ln>
          <a:noFill/>
        </a:ln>
        <a:effectLst>
          <a:outerShdw blurRad="444500" dist="190500" dir="8100000" sx="94000" sy="94000" algn="t" rotWithShape="0">
            <a:prstClr val="black">
              <a:alpha val="7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248708</xdr:colOff>
      <xdr:row>9</xdr:row>
      <xdr:rowOff>94419</xdr:rowOff>
    </xdr:from>
    <xdr:to>
      <xdr:col>7</xdr:col>
      <xdr:colOff>216958</xdr:colOff>
      <xdr:row>51</xdr:row>
      <xdr:rowOff>140407</xdr:rowOff>
    </xdr:to>
    <xdr:sp macro="" textlink="">
      <xdr:nvSpPr>
        <xdr:cNvPr id="11" name="Rectangle: Rounded Corners 10">
          <a:extLst>
            <a:ext uri="{FF2B5EF4-FFF2-40B4-BE49-F238E27FC236}">
              <a16:creationId xmlns:a16="http://schemas.microsoft.com/office/drawing/2014/main" id="{22A9D2A3-C861-4C87-5841-C84DF785D115}"/>
            </a:ext>
          </a:extLst>
        </xdr:cNvPr>
        <xdr:cNvSpPr/>
      </xdr:nvSpPr>
      <xdr:spPr>
        <a:xfrm>
          <a:off x="2058458" y="1808919"/>
          <a:ext cx="2381250" cy="8046988"/>
        </a:xfrm>
        <a:prstGeom prst="roundRect">
          <a:avLst>
            <a:gd name="adj" fmla="val 23723"/>
          </a:avLst>
        </a:prstGeom>
        <a:solidFill>
          <a:srgbClr val="040236"/>
        </a:solidFill>
        <a:ln>
          <a:noFill/>
        </a:ln>
        <a:effectLst>
          <a:outerShdw blurRad="444500" dist="190500" dir="8100000" algn="t" rotWithShape="0">
            <a:prstClr val="black">
              <a:alpha val="71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598713</xdr:colOff>
      <xdr:row>3</xdr:row>
      <xdr:rowOff>22678</xdr:rowOff>
    </xdr:from>
    <xdr:to>
      <xdr:col>10</xdr:col>
      <xdr:colOff>157237</xdr:colOff>
      <xdr:row>8</xdr:row>
      <xdr:rowOff>22679</xdr:rowOff>
    </xdr:to>
    <xdr:sp macro="" textlink="">
      <xdr:nvSpPr>
        <xdr:cNvPr id="14" name="Rectangle 13">
          <a:extLst>
            <a:ext uri="{FF2B5EF4-FFF2-40B4-BE49-F238E27FC236}">
              <a16:creationId xmlns:a16="http://schemas.microsoft.com/office/drawing/2014/main" id="{F49409C4-B71E-28F5-F7FD-6705981C7C45}"/>
            </a:ext>
          </a:extLst>
        </xdr:cNvPr>
        <xdr:cNvSpPr/>
      </xdr:nvSpPr>
      <xdr:spPr>
        <a:xfrm>
          <a:off x="2440213" y="562428"/>
          <a:ext cx="3855357" cy="899584"/>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1" cap="none" spc="0">
              <a:ln/>
              <a:solidFill>
                <a:schemeClr val="bg1"/>
              </a:solidFill>
              <a:effectLst>
                <a:innerShdw blurRad="63500" dist="50800" dir="13500000">
                  <a:prstClr val="black">
                    <a:alpha val="50000"/>
                  </a:prstClr>
                </a:innerShdw>
              </a:effectLst>
              <a:latin typeface="+mj-lt"/>
            </a:rPr>
            <a:t>Cross‑Country Inventory Analysis (2024)</a:t>
          </a:r>
        </a:p>
      </xdr:txBody>
    </xdr:sp>
    <xdr:clientData/>
  </xdr:twoCellAnchor>
  <xdr:twoCellAnchor>
    <xdr:from>
      <xdr:col>11</xdr:col>
      <xdr:colOff>18143</xdr:colOff>
      <xdr:row>3</xdr:row>
      <xdr:rowOff>117927</xdr:rowOff>
    </xdr:from>
    <xdr:to>
      <xdr:col>14</xdr:col>
      <xdr:colOff>253999</xdr:colOff>
      <xdr:row>7</xdr:row>
      <xdr:rowOff>143328</xdr:rowOff>
    </xdr:to>
    <xdr:sp macro="" textlink="">
      <xdr:nvSpPr>
        <xdr:cNvPr id="15" name="Rectangle 14">
          <a:extLst>
            <a:ext uri="{FF2B5EF4-FFF2-40B4-BE49-F238E27FC236}">
              <a16:creationId xmlns:a16="http://schemas.microsoft.com/office/drawing/2014/main" id="{78713B3A-5868-E858-31BF-491069EC2BD8}"/>
            </a:ext>
          </a:extLst>
        </xdr:cNvPr>
        <xdr:cNvSpPr/>
      </xdr:nvSpPr>
      <xdr:spPr>
        <a:xfrm>
          <a:off x="4880429" y="299356"/>
          <a:ext cx="2059213" cy="751115"/>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1600" b="1">
              <a:solidFill>
                <a:schemeClr val="bg1"/>
              </a:solidFill>
              <a:effectLst/>
              <a:latin typeface="+mn-lt"/>
              <a:ea typeface="+mn-ea"/>
              <a:cs typeface="+mn-cs"/>
            </a:rPr>
            <a:t>Total Inventory Value </a:t>
          </a:r>
          <a:r>
            <a:rPr lang="en-US" sz="1600" b="1" cap="none" spc="0">
              <a:ln/>
              <a:solidFill>
                <a:schemeClr val="bg1"/>
              </a:solidFill>
              <a:effectLst>
                <a:innerShdw blurRad="63500" dist="50800" dir="13500000">
                  <a:prstClr val="black">
                    <a:alpha val="50000"/>
                  </a:prstClr>
                </a:innerShdw>
              </a:effectLst>
              <a:latin typeface="+mn-lt"/>
            </a:rPr>
            <a:t> </a:t>
          </a:r>
        </a:p>
      </xdr:txBody>
    </xdr:sp>
    <xdr:clientData/>
  </xdr:twoCellAnchor>
  <xdr:twoCellAnchor>
    <xdr:from>
      <xdr:col>15</xdr:col>
      <xdr:colOff>127000</xdr:colOff>
      <xdr:row>3</xdr:row>
      <xdr:rowOff>70756</xdr:rowOff>
    </xdr:from>
    <xdr:to>
      <xdr:col>18</xdr:col>
      <xdr:colOff>598714</xdr:colOff>
      <xdr:row>8</xdr:row>
      <xdr:rowOff>5443</xdr:rowOff>
    </xdr:to>
    <xdr:sp macro="" textlink="">
      <xdr:nvSpPr>
        <xdr:cNvPr id="16" name="Rectangle 15">
          <a:extLst>
            <a:ext uri="{FF2B5EF4-FFF2-40B4-BE49-F238E27FC236}">
              <a16:creationId xmlns:a16="http://schemas.microsoft.com/office/drawing/2014/main" id="{68A6C416-6D75-378B-954F-4EA649AF8A20}"/>
            </a:ext>
          </a:extLst>
        </xdr:cNvPr>
        <xdr:cNvSpPr/>
      </xdr:nvSpPr>
      <xdr:spPr>
        <a:xfrm>
          <a:off x="7420429" y="252185"/>
          <a:ext cx="2295071" cy="841829"/>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1600" b="1">
              <a:solidFill>
                <a:schemeClr val="bg1"/>
              </a:solidFill>
              <a:effectLst/>
              <a:latin typeface="+mn-lt"/>
              <a:ea typeface="+mn-ea"/>
              <a:cs typeface="+mn-cs"/>
            </a:rPr>
            <a:t>% Cold‑Chain Inventory</a:t>
          </a:r>
          <a:endParaRPr lang="en-US" sz="1600" b="1" cap="none" spc="0">
            <a:ln/>
            <a:solidFill>
              <a:schemeClr val="bg1"/>
            </a:solidFill>
            <a:effectLst>
              <a:innerShdw blurRad="63500" dist="50800" dir="13500000">
                <a:prstClr val="black">
                  <a:alpha val="50000"/>
                </a:prstClr>
              </a:innerShdw>
            </a:effectLst>
            <a:latin typeface="+mn-lt"/>
          </a:endParaRPr>
        </a:p>
      </xdr:txBody>
    </xdr:sp>
    <xdr:clientData/>
  </xdr:twoCellAnchor>
  <xdr:twoCellAnchor>
    <xdr:from>
      <xdr:col>11</xdr:col>
      <xdr:colOff>154213</xdr:colOff>
      <xdr:row>4</xdr:row>
      <xdr:rowOff>154215</xdr:rowOff>
    </xdr:from>
    <xdr:to>
      <xdr:col>14</xdr:col>
      <xdr:colOff>344714</xdr:colOff>
      <xdr:row>8</xdr:row>
      <xdr:rowOff>136073</xdr:rowOff>
    </xdr:to>
    <xdr:sp macro="" textlink="Pivottable!G3">
      <xdr:nvSpPr>
        <xdr:cNvPr id="17" name="Rectangle 16">
          <a:extLst>
            <a:ext uri="{FF2B5EF4-FFF2-40B4-BE49-F238E27FC236}">
              <a16:creationId xmlns:a16="http://schemas.microsoft.com/office/drawing/2014/main" id="{29B1F3B6-183C-3661-FACD-05AD37B79F7D}"/>
            </a:ext>
          </a:extLst>
        </xdr:cNvPr>
        <xdr:cNvSpPr/>
      </xdr:nvSpPr>
      <xdr:spPr>
        <a:xfrm>
          <a:off x="5016499" y="517072"/>
          <a:ext cx="2013858" cy="7075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DDC7B3-C18A-4482-91A7-AC8982786071}" type="TxLink">
            <a:rPr lang="en-US" sz="2400" b="1" i="0" u="none" strike="noStrike">
              <a:solidFill>
                <a:schemeClr val="bg1"/>
              </a:solidFill>
              <a:latin typeface="Calibri"/>
              <a:ea typeface="Calibri"/>
              <a:cs typeface="Calibri"/>
            </a:rPr>
            <a:pPr algn="l"/>
            <a:t> 273,200.38 </a:t>
          </a:fld>
          <a:endParaRPr lang="en-US" sz="2400">
            <a:solidFill>
              <a:schemeClr val="bg1"/>
            </a:solidFill>
          </a:endParaRPr>
        </a:p>
      </xdr:txBody>
    </xdr:sp>
    <xdr:clientData/>
  </xdr:twoCellAnchor>
  <xdr:twoCellAnchor editAs="oneCell">
    <xdr:from>
      <xdr:col>10</xdr:col>
      <xdr:colOff>596761</xdr:colOff>
      <xdr:row>5</xdr:row>
      <xdr:rowOff>61885</xdr:rowOff>
    </xdr:from>
    <xdr:to>
      <xdr:col>11</xdr:col>
      <xdr:colOff>399142</xdr:colOff>
      <xdr:row>6</xdr:row>
      <xdr:rowOff>172356</xdr:rowOff>
    </xdr:to>
    <xdr:pic>
      <xdr:nvPicPr>
        <xdr:cNvPr id="24" name="Graphic 23" descr="Dollar with solid fill">
          <a:extLst>
            <a:ext uri="{FF2B5EF4-FFF2-40B4-BE49-F238E27FC236}">
              <a16:creationId xmlns:a16="http://schemas.microsoft.com/office/drawing/2014/main" id="{37F0B898-7A51-CF6E-04EC-BA239F354B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51261" y="606171"/>
          <a:ext cx="410167" cy="291899"/>
        </a:xfrm>
        <a:prstGeom prst="rect">
          <a:avLst/>
        </a:prstGeom>
      </xdr:spPr>
    </xdr:pic>
    <xdr:clientData/>
  </xdr:twoCellAnchor>
  <xdr:twoCellAnchor editAs="oneCell">
    <xdr:from>
      <xdr:col>12</xdr:col>
      <xdr:colOff>254009</xdr:colOff>
      <xdr:row>7</xdr:row>
      <xdr:rowOff>45355</xdr:rowOff>
    </xdr:from>
    <xdr:to>
      <xdr:col>12</xdr:col>
      <xdr:colOff>569391</xdr:colOff>
      <xdr:row>8</xdr:row>
      <xdr:rowOff>145143</xdr:rowOff>
    </xdr:to>
    <xdr:pic>
      <xdr:nvPicPr>
        <xdr:cNvPr id="31" name="Graphic 30" descr="Play with solid fill">
          <a:extLst>
            <a:ext uri="{FF2B5EF4-FFF2-40B4-BE49-F238E27FC236}">
              <a16:creationId xmlns:a16="http://schemas.microsoft.com/office/drawing/2014/main" id="{670BBFE5-1B8F-F8E3-FF27-471CCD5B90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6200000">
          <a:off x="5741163" y="935415"/>
          <a:ext cx="281215" cy="315382"/>
        </a:xfrm>
        <a:prstGeom prst="rect">
          <a:avLst/>
        </a:prstGeom>
      </xdr:spPr>
    </xdr:pic>
    <xdr:clientData/>
  </xdr:twoCellAnchor>
  <xdr:twoCellAnchor>
    <xdr:from>
      <xdr:col>16</xdr:col>
      <xdr:colOff>344715</xdr:colOff>
      <xdr:row>4</xdr:row>
      <xdr:rowOff>145142</xdr:rowOff>
    </xdr:from>
    <xdr:to>
      <xdr:col>18</xdr:col>
      <xdr:colOff>408215</xdr:colOff>
      <xdr:row>7</xdr:row>
      <xdr:rowOff>27213</xdr:rowOff>
    </xdr:to>
    <xdr:sp macro="" textlink="Pivottable!G6">
      <xdr:nvSpPr>
        <xdr:cNvPr id="32" name="Rectangle 31">
          <a:extLst>
            <a:ext uri="{FF2B5EF4-FFF2-40B4-BE49-F238E27FC236}">
              <a16:creationId xmlns:a16="http://schemas.microsoft.com/office/drawing/2014/main" id="{D8FA85A5-8F0C-5370-72DB-4A8F32981D72}"/>
            </a:ext>
          </a:extLst>
        </xdr:cNvPr>
        <xdr:cNvSpPr/>
      </xdr:nvSpPr>
      <xdr:spPr>
        <a:xfrm>
          <a:off x="8245929" y="507999"/>
          <a:ext cx="1279072" cy="4263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C1A49C7-2AA4-4F1D-9D4F-51ECF8666C20}" type="TxLink">
            <a:rPr lang="en-US" sz="2400" b="1" i="0" u="none" strike="noStrike">
              <a:solidFill>
                <a:schemeClr val="bg1"/>
              </a:solidFill>
              <a:latin typeface="Calibri"/>
              <a:ea typeface="Calibri"/>
              <a:cs typeface="Calibri"/>
            </a:rPr>
            <a:pPr algn="l"/>
            <a:t>45%</a:t>
          </a:fld>
          <a:endParaRPr lang="en-US" sz="2400">
            <a:solidFill>
              <a:schemeClr val="bg1"/>
            </a:solidFill>
          </a:endParaRPr>
        </a:p>
      </xdr:txBody>
    </xdr:sp>
    <xdr:clientData/>
  </xdr:twoCellAnchor>
  <xdr:twoCellAnchor editAs="oneCell">
    <xdr:from>
      <xdr:col>17</xdr:col>
      <xdr:colOff>361052</xdr:colOff>
      <xdr:row>6</xdr:row>
      <xdr:rowOff>161467</xdr:rowOff>
    </xdr:from>
    <xdr:to>
      <xdr:col>18</xdr:col>
      <xdr:colOff>68648</xdr:colOff>
      <xdr:row>8</xdr:row>
      <xdr:rowOff>79825</xdr:rowOff>
    </xdr:to>
    <xdr:pic>
      <xdr:nvPicPr>
        <xdr:cNvPr id="33" name="Graphic 32" descr="Play with solid fill">
          <a:extLst>
            <a:ext uri="{FF2B5EF4-FFF2-40B4-BE49-F238E27FC236}">
              <a16:creationId xmlns:a16="http://schemas.microsoft.com/office/drawing/2014/main" id="{1580890D-F82C-E647-7AF3-A6B027A5096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6200000">
          <a:off x="8887135" y="870098"/>
          <a:ext cx="281215" cy="315382"/>
        </a:xfrm>
        <a:prstGeom prst="rect">
          <a:avLst/>
        </a:prstGeom>
      </xdr:spPr>
    </xdr:pic>
    <xdr:clientData/>
  </xdr:twoCellAnchor>
  <xdr:twoCellAnchor editAs="oneCell">
    <xdr:from>
      <xdr:col>16</xdr:col>
      <xdr:colOff>53268</xdr:colOff>
      <xdr:row>5</xdr:row>
      <xdr:rowOff>54428</xdr:rowOff>
    </xdr:from>
    <xdr:to>
      <xdr:col>16</xdr:col>
      <xdr:colOff>381000</xdr:colOff>
      <xdr:row>7</xdr:row>
      <xdr:rowOff>25398</xdr:rowOff>
    </xdr:to>
    <xdr:pic>
      <xdr:nvPicPr>
        <xdr:cNvPr id="35" name="Graphic 34" descr="Calculator with solid fill">
          <a:extLst>
            <a:ext uri="{FF2B5EF4-FFF2-40B4-BE49-F238E27FC236}">
              <a16:creationId xmlns:a16="http://schemas.microsoft.com/office/drawing/2014/main" id="{7008A79E-94DC-AF72-80F9-1D06E76216E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54482" y="598714"/>
          <a:ext cx="327732" cy="333828"/>
        </a:xfrm>
        <a:prstGeom prst="rect">
          <a:avLst/>
        </a:prstGeom>
      </xdr:spPr>
    </xdr:pic>
    <xdr:clientData/>
  </xdr:twoCellAnchor>
  <xdr:twoCellAnchor>
    <xdr:from>
      <xdr:col>15</xdr:col>
      <xdr:colOff>116417</xdr:colOff>
      <xdr:row>9</xdr:row>
      <xdr:rowOff>120952</xdr:rowOff>
    </xdr:from>
    <xdr:to>
      <xdr:col>22</xdr:col>
      <xdr:colOff>285750</xdr:colOff>
      <xdr:row>28</xdr:row>
      <xdr:rowOff>75594</xdr:rowOff>
    </xdr:to>
    <xdr:sp macro="" textlink="">
      <xdr:nvSpPr>
        <xdr:cNvPr id="38" name="Rectangle: Rounded Corners 37">
          <a:extLst>
            <a:ext uri="{FF2B5EF4-FFF2-40B4-BE49-F238E27FC236}">
              <a16:creationId xmlns:a16="http://schemas.microsoft.com/office/drawing/2014/main" id="{B08E25F7-245D-B7C5-5277-648D5F50D6C1}"/>
            </a:ext>
          </a:extLst>
        </xdr:cNvPr>
        <xdr:cNvSpPr/>
      </xdr:nvSpPr>
      <xdr:spPr>
        <a:xfrm>
          <a:off x="9323917" y="1740202"/>
          <a:ext cx="4466166" cy="3373059"/>
        </a:xfrm>
        <a:prstGeom prst="roundRect">
          <a:avLst>
            <a:gd name="adj" fmla="val 13312"/>
          </a:avLst>
        </a:prstGeom>
        <a:solidFill>
          <a:srgbClr val="040236"/>
        </a:solidFill>
        <a:ln>
          <a:noFill/>
        </a:ln>
        <a:effectLst>
          <a:outerShdw blurRad="444500" dist="190500" dir="8100000" sx="94000" sy="94000" algn="t" rotWithShape="0">
            <a:prstClr val="black">
              <a:alpha val="7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391584</xdr:colOff>
      <xdr:row>9</xdr:row>
      <xdr:rowOff>108856</xdr:rowOff>
    </xdr:from>
    <xdr:to>
      <xdr:col>28</xdr:col>
      <xdr:colOff>296334</xdr:colOff>
      <xdr:row>28</xdr:row>
      <xdr:rowOff>72570</xdr:rowOff>
    </xdr:to>
    <xdr:sp macro="" textlink="">
      <xdr:nvSpPr>
        <xdr:cNvPr id="39" name="Rectangle: Rounded Corners 38">
          <a:extLst>
            <a:ext uri="{FF2B5EF4-FFF2-40B4-BE49-F238E27FC236}">
              <a16:creationId xmlns:a16="http://schemas.microsoft.com/office/drawing/2014/main" id="{5EBE2452-2115-C903-D41A-AB29F184592E}"/>
            </a:ext>
          </a:extLst>
        </xdr:cNvPr>
        <xdr:cNvSpPr/>
      </xdr:nvSpPr>
      <xdr:spPr>
        <a:xfrm>
          <a:off x="13895917" y="1728106"/>
          <a:ext cx="3587750" cy="3382131"/>
        </a:xfrm>
        <a:prstGeom prst="roundRect">
          <a:avLst>
            <a:gd name="adj" fmla="val 13312"/>
          </a:avLst>
        </a:prstGeom>
        <a:solidFill>
          <a:srgbClr val="040236"/>
        </a:solidFill>
        <a:ln>
          <a:noFill/>
        </a:ln>
        <a:effectLst>
          <a:outerShdw blurRad="444500" dist="190500" dir="8100000" sx="94000" sy="94000" algn="t" rotWithShape="0">
            <a:prstClr val="black">
              <a:alpha val="7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486228</xdr:colOff>
      <xdr:row>3</xdr:row>
      <xdr:rowOff>108857</xdr:rowOff>
    </xdr:from>
    <xdr:to>
      <xdr:col>23</xdr:col>
      <xdr:colOff>188685</xdr:colOff>
      <xdr:row>8</xdr:row>
      <xdr:rowOff>21772</xdr:rowOff>
    </xdr:to>
    <xdr:sp macro="" textlink="">
      <xdr:nvSpPr>
        <xdr:cNvPr id="40" name="Rectangle 39">
          <a:extLst>
            <a:ext uri="{FF2B5EF4-FFF2-40B4-BE49-F238E27FC236}">
              <a16:creationId xmlns:a16="http://schemas.microsoft.com/office/drawing/2014/main" id="{432AB65F-F907-878E-3E6C-9E66B9E34B42}"/>
            </a:ext>
          </a:extLst>
        </xdr:cNvPr>
        <xdr:cNvSpPr/>
      </xdr:nvSpPr>
      <xdr:spPr>
        <a:xfrm>
          <a:off x="10210799" y="290286"/>
          <a:ext cx="2133600" cy="820057"/>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1600" b="1">
              <a:solidFill>
                <a:schemeClr val="bg1"/>
              </a:solidFill>
              <a:effectLst/>
              <a:latin typeface="+mn-lt"/>
              <a:ea typeface="+mn-ea"/>
              <a:cs typeface="+mn-cs"/>
            </a:rPr>
            <a:t>Highest Value Country</a:t>
          </a:r>
          <a:endParaRPr lang="en-US" sz="1600" b="1" cap="none" spc="0">
            <a:ln/>
            <a:solidFill>
              <a:schemeClr val="bg1"/>
            </a:solidFill>
            <a:effectLst>
              <a:innerShdw blurRad="63500" dist="50800" dir="13500000">
                <a:prstClr val="black">
                  <a:alpha val="50000"/>
                </a:prstClr>
              </a:innerShdw>
            </a:effectLst>
            <a:latin typeface="+mn-lt"/>
          </a:endParaRPr>
        </a:p>
      </xdr:txBody>
    </xdr:sp>
    <xdr:clientData/>
  </xdr:twoCellAnchor>
  <xdr:twoCellAnchor>
    <xdr:from>
      <xdr:col>20</xdr:col>
      <xdr:colOff>235856</xdr:colOff>
      <xdr:row>4</xdr:row>
      <xdr:rowOff>136072</xdr:rowOff>
    </xdr:from>
    <xdr:to>
      <xdr:col>23</xdr:col>
      <xdr:colOff>244928</xdr:colOff>
      <xdr:row>7</xdr:row>
      <xdr:rowOff>27215</xdr:rowOff>
    </xdr:to>
    <xdr:sp macro="" textlink="Pivottable!G9">
      <xdr:nvSpPr>
        <xdr:cNvPr id="41" name="Rectangle 40">
          <a:extLst>
            <a:ext uri="{FF2B5EF4-FFF2-40B4-BE49-F238E27FC236}">
              <a16:creationId xmlns:a16="http://schemas.microsoft.com/office/drawing/2014/main" id="{16DB103C-8461-E8A3-3B3C-FE442FAB8DAB}"/>
            </a:ext>
          </a:extLst>
        </xdr:cNvPr>
        <xdr:cNvSpPr/>
      </xdr:nvSpPr>
      <xdr:spPr>
        <a:xfrm>
          <a:off x="10568213" y="498929"/>
          <a:ext cx="1832429" cy="435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4EBCED8-FD68-4DDF-B869-FF63F1DACAFC}" type="TxLink">
            <a:rPr lang="en-US" sz="2400" b="1" i="0" u="none" strike="noStrike">
              <a:solidFill>
                <a:schemeClr val="bg1"/>
              </a:solidFill>
              <a:latin typeface="Calibri"/>
              <a:ea typeface="Calibri"/>
              <a:cs typeface="Calibri"/>
            </a:rPr>
            <a:pPr algn="l"/>
            <a:t> 75,358.95 </a:t>
          </a:fld>
          <a:endParaRPr lang="en-US" sz="2400">
            <a:solidFill>
              <a:schemeClr val="bg1"/>
            </a:solidFill>
          </a:endParaRPr>
        </a:p>
      </xdr:txBody>
    </xdr:sp>
    <xdr:clientData/>
  </xdr:twoCellAnchor>
  <xdr:twoCellAnchor>
    <xdr:from>
      <xdr:col>24</xdr:col>
      <xdr:colOff>9072</xdr:colOff>
      <xdr:row>3</xdr:row>
      <xdr:rowOff>136071</xdr:rowOff>
    </xdr:from>
    <xdr:to>
      <xdr:col>28</xdr:col>
      <xdr:colOff>136072</xdr:colOff>
      <xdr:row>5</xdr:row>
      <xdr:rowOff>172357</xdr:rowOff>
    </xdr:to>
    <xdr:sp macro="" textlink="">
      <xdr:nvSpPr>
        <xdr:cNvPr id="43" name="Rectangle 42">
          <a:extLst>
            <a:ext uri="{FF2B5EF4-FFF2-40B4-BE49-F238E27FC236}">
              <a16:creationId xmlns:a16="http://schemas.microsoft.com/office/drawing/2014/main" id="{B1DE4E41-EDF5-D48A-AD36-9214F53ED4AE}"/>
            </a:ext>
          </a:extLst>
        </xdr:cNvPr>
        <xdr:cNvSpPr/>
      </xdr:nvSpPr>
      <xdr:spPr>
        <a:xfrm>
          <a:off x="12772572" y="317500"/>
          <a:ext cx="2558143" cy="399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effectLst/>
              <a:latin typeface="+mn-lt"/>
              <a:ea typeface="+mn-ea"/>
              <a:cs typeface="+mn-cs"/>
            </a:rPr>
            <a:t>Highest Value Therapeutic Area</a:t>
          </a:r>
          <a:endParaRPr lang="en-US" sz="1400">
            <a:solidFill>
              <a:schemeClr val="bg1"/>
            </a:solidFill>
          </a:endParaRPr>
        </a:p>
      </xdr:txBody>
    </xdr:sp>
    <xdr:clientData/>
  </xdr:twoCellAnchor>
  <xdr:twoCellAnchor>
    <xdr:from>
      <xdr:col>24</xdr:col>
      <xdr:colOff>344714</xdr:colOff>
      <xdr:row>5</xdr:row>
      <xdr:rowOff>-1</xdr:rowOff>
    </xdr:from>
    <xdr:to>
      <xdr:col>28</xdr:col>
      <xdr:colOff>81642</xdr:colOff>
      <xdr:row>7</xdr:row>
      <xdr:rowOff>36286</xdr:rowOff>
    </xdr:to>
    <xdr:sp macro="" textlink="Pivottable!G12">
      <xdr:nvSpPr>
        <xdr:cNvPr id="44" name="Rectangle: Rounded Corners 43">
          <a:extLst>
            <a:ext uri="{FF2B5EF4-FFF2-40B4-BE49-F238E27FC236}">
              <a16:creationId xmlns:a16="http://schemas.microsoft.com/office/drawing/2014/main" id="{8F719AA5-C4E9-7F91-5DD3-EC9F02DD1061}"/>
            </a:ext>
          </a:extLst>
        </xdr:cNvPr>
        <xdr:cNvSpPr/>
      </xdr:nvSpPr>
      <xdr:spPr>
        <a:xfrm>
          <a:off x="13108214" y="544285"/>
          <a:ext cx="2168071" cy="399144"/>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D3D3D1E-2E3D-4EAA-A3C1-0E4EE3C334F8}" type="TxLink">
            <a:rPr lang="en-US" sz="2400" b="1" i="0" u="none" strike="noStrike">
              <a:solidFill>
                <a:schemeClr val="bg1"/>
              </a:solidFill>
              <a:latin typeface="Calibri"/>
              <a:ea typeface="Calibri"/>
              <a:cs typeface="Calibri"/>
            </a:rPr>
            <a:pPr algn="l"/>
            <a:t> $90,346.54 </a:t>
          </a:fld>
          <a:endParaRPr lang="en-US" sz="2400">
            <a:solidFill>
              <a:schemeClr val="bg1"/>
            </a:solidFill>
          </a:endParaRPr>
        </a:p>
      </xdr:txBody>
    </xdr:sp>
    <xdr:clientData/>
  </xdr:twoCellAnchor>
  <xdr:twoCellAnchor>
    <xdr:from>
      <xdr:col>24</xdr:col>
      <xdr:colOff>526143</xdr:colOff>
      <xdr:row>7</xdr:row>
      <xdr:rowOff>63500</xdr:rowOff>
    </xdr:from>
    <xdr:to>
      <xdr:col>27</xdr:col>
      <xdr:colOff>326572</xdr:colOff>
      <xdr:row>8</xdr:row>
      <xdr:rowOff>145144</xdr:rowOff>
    </xdr:to>
    <xdr:sp macro="" textlink="">
      <xdr:nvSpPr>
        <xdr:cNvPr id="45" name="Rectangle 44">
          <a:extLst>
            <a:ext uri="{FF2B5EF4-FFF2-40B4-BE49-F238E27FC236}">
              <a16:creationId xmlns:a16="http://schemas.microsoft.com/office/drawing/2014/main" id="{4F31C9E6-6C1C-53C2-226C-9B71EC8CFCA8}"/>
            </a:ext>
          </a:extLst>
        </xdr:cNvPr>
        <xdr:cNvSpPr/>
      </xdr:nvSpPr>
      <xdr:spPr>
        <a:xfrm>
          <a:off x="13289643" y="970643"/>
          <a:ext cx="1623786" cy="2630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NCD PY YR</a:t>
          </a:r>
        </a:p>
      </xdr:txBody>
    </xdr:sp>
    <xdr:clientData/>
  </xdr:twoCellAnchor>
  <xdr:twoCellAnchor>
    <xdr:from>
      <xdr:col>20</xdr:col>
      <xdr:colOff>397328</xdr:colOff>
      <xdr:row>6</xdr:row>
      <xdr:rowOff>170543</xdr:rowOff>
    </xdr:from>
    <xdr:to>
      <xdr:col>22</xdr:col>
      <xdr:colOff>0</xdr:colOff>
      <xdr:row>8</xdr:row>
      <xdr:rowOff>27214</xdr:rowOff>
    </xdr:to>
    <xdr:sp macro="" textlink="">
      <xdr:nvSpPr>
        <xdr:cNvPr id="46" name="Rectangle 45">
          <a:extLst>
            <a:ext uri="{FF2B5EF4-FFF2-40B4-BE49-F238E27FC236}">
              <a16:creationId xmlns:a16="http://schemas.microsoft.com/office/drawing/2014/main" id="{0A1F08BB-214B-BBE8-8886-03B76A718100}"/>
            </a:ext>
          </a:extLst>
        </xdr:cNvPr>
        <xdr:cNvSpPr/>
      </xdr:nvSpPr>
      <xdr:spPr>
        <a:xfrm>
          <a:off x="10729685" y="896257"/>
          <a:ext cx="818244" cy="2195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TANZANIA</a:t>
          </a:r>
        </a:p>
      </xdr:txBody>
    </xdr:sp>
    <xdr:clientData/>
  </xdr:twoCellAnchor>
  <xdr:twoCellAnchor>
    <xdr:from>
      <xdr:col>16</xdr:col>
      <xdr:colOff>87084</xdr:colOff>
      <xdr:row>7</xdr:row>
      <xdr:rowOff>5443</xdr:rowOff>
    </xdr:from>
    <xdr:to>
      <xdr:col>18</xdr:col>
      <xdr:colOff>99785</xdr:colOff>
      <xdr:row>8</xdr:row>
      <xdr:rowOff>127000</xdr:rowOff>
    </xdr:to>
    <xdr:sp macro="" textlink="">
      <xdr:nvSpPr>
        <xdr:cNvPr id="47" name="Rectangle 46">
          <a:extLst>
            <a:ext uri="{FF2B5EF4-FFF2-40B4-BE49-F238E27FC236}">
              <a16:creationId xmlns:a16="http://schemas.microsoft.com/office/drawing/2014/main" id="{F790251A-C4D2-6090-10C4-AFF197640F4B}"/>
            </a:ext>
          </a:extLst>
        </xdr:cNvPr>
        <xdr:cNvSpPr/>
      </xdr:nvSpPr>
      <xdr:spPr>
        <a:xfrm>
          <a:off x="7988298" y="912586"/>
          <a:ext cx="1228273" cy="3029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PER</a:t>
          </a:r>
          <a:r>
            <a:rPr lang="en-US" sz="1100" baseline="0"/>
            <a:t> YEAR</a:t>
          </a:r>
          <a:endParaRPr lang="en-US" sz="1100"/>
        </a:p>
      </xdr:txBody>
    </xdr:sp>
    <xdr:clientData/>
  </xdr:twoCellAnchor>
  <xdr:twoCellAnchor>
    <xdr:from>
      <xdr:col>11</xdr:col>
      <xdr:colOff>203197</xdr:colOff>
      <xdr:row>7</xdr:row>
      <xdr:rowOff>48986</xdr:rowOff>
    </xdr:from>
    <xdr:to>
      <xdr:col>12</xdr:col>
      <xdr:colOff>444500</xdr:colOff>
      <xdr:row>8</xdr:row>
      <xdr:rowOff>117929</xdr:rowOff>
    </xdr:to>
    <xdr:sp macro="" textlink="">
      <xdr:nvSpPr>
        <xdr:cNvPr id="48" name="Rectangle 47">
          <a:extLst>
            <a:ext uri="{FF2B5EF4-FFF2-40B4-BE49-F238E27FC236}">
              <a16:creationId xmlns:a16="http://schemas.microsoft.com/office/drawing/2014/main" id="{3092BF93-29E5-D707-5BF2-0C871DBFA9CB}"/>
            </a:ext>
          </a:extLst>
        </xdr:cNvPr>
        <xdr:cNvSpPr/>
      </xdr:nvSpPr>
      <xdr:spPr>
        <a:xfrm>
          <a:off x="5065483" y="956129"/>
          <a:ext cx="849088" cy="2503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PER</a:t>
          </a:r>
          <a:r>
            <a:rPr lang="en-US" sz="1100" baseline="0"/>
            <a:t> YEAR</a:t>
          </a:r>
          <a:endParaRPr lang="en-US" sz="1100"/>
        </a:p>
      </xdr:txBody>
    </xdr:sp>
    <xdr:clientData/>
  </xdr:twoCellAnchor>
  <xdr:twoCellAnchor editAs="oneCell">
    <xdr:from>
      <xdr:col>23</xdr:col>
      <xdr:colOff>553357</xdr:colOff>
      <xdr:row>5</xdr:row>
      <xdr:rowOff>81643</xdr:rowOff>
    </xdr:from>
    <xdr:to>
      <xdr:col>24</xdr:col>
      <xdr:colOff>442684</xdr:colOff>
      <xdr:row>8</xdr:row>
      <xdr:rowOff>34471</xdr:rowOff>
    </xdr:to>
    <xdr:pic>
      <xdr:nvPicPr>
        <xdr:cNvPr id="50" name="Graphic 49" descr="Covid-19 outline">
          <a:extLst>
            <a:ext uri="{FF2B5EF4-FFF2-40B4-BE49-F238E27FC236}">
              <a16:creationId xmlns:a16="http://schemas.microsoft.com/office/drawing/2014/main" id="{166E4A4B-3FF8-248F-CCD5-62CE0A2132C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709071" y="625929"/>
          <a:ext cx="497113" cy="497113"/>
        </a:xfrm>
        <a:prstGeom prst="rect">
          <a:avLst/>
        </a:prstGeom>
      </xdr:spPr>
    </xdr:pic>
    <xdr:clientData/>
  </xdr:twoCellAnchor>
  <xdr:twoCellAnchor editAs="oneCell">
    <xdr:from>
      <xdr:col>19</xdr:col>
      <xdr:colOff>435430</xdr:colOff>
      <xdr:row>5</xdr:row>
      <xdr:rowOff>45357</xdr:rowOff>
    </xdr:from>
    <xdr:to>
      <xdr:col>20</xdr:col>
      <xdr:colOff>288472</xdr:colOff>
      <xdr:row>7</xdr:row>
      <xdr:rowOff>25399</xdr:rowOff>
    </xdr:to>
    <xdr:pic>
      <xdr:nvPicPr>
        <xdr:cNvPr id="52" name="Graphic 51" descr="Wallet with solid fill">
          <a:extLst>
            <a:ext uri="{FF2B5EF4-FFF2-40B4-BE49-F238E27FC236}">
              <a16:creationId xmlns:a16="http://schemas.microsoft.com/office/drawing/2014/main" id="{99F7EF21-8EB4-8265-F7FE-8F1A578F73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60001" y="589643"/>
          <a:ext cx="460828" cy="342900"/>
        </a:xfrm>
        <a:prstGeom prst="rect">
          <a:avLst/>
        </a:prstGeom>
      </xdr:spPr>
    </xdr:pic>
    <xdr:clientData/>
  </xdr:twoCellAnchor>
  <xdr:twoCellAnchor editAs="oneCell">
    <xdr:from>
      <xdr:col>21</xdr:col>
      <xdr:colOff>540666</xdr:colOff>
      <xdr:row>6</xdr:row>
      <xdr:rowOff>159654</xdr:rowOff>
    </xdr:from>
    <xdr:to>
      <xdr:col>22</xdr:col>
      <xdr:colOff>248262</xdr:colOff>
      <xdr:row>8</xdr:row>
      <xdr:rowOff>78012</xdr:rowOff>
    </xdr:to>
    <xdr:pic>
      <xdr:nvPicPr>
        <xdr:cNvPr id="53" name="Graphic 52" descr="Play with solid fill">
          <a:extLst>
            <a:ext uri="{FF2B5EF4-FFF2-40B4-BE49-F238E27FC236}">
              <a16:creationId xmlns:a16="http://schemas.microsoft.com/office/drawing/2014/main" id="{EF9069D9-5D38-2D79-7380-66AB8634893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rot="16200000">
          <a:off x="11497892" y="868285"/>
          <a:ext cx="281215" cy="315382"/>
        </a:xfrm>
        <a:prstGeom prst="rect">
          <a:avLst/>
        </a:prstGeom>
      </xdr:spPr>
    </xdr:pic>
    <xdr:clientData/>
  </xdr:twoCellAnchor>
  <xdr:twoCellAnchor editAs="oneCell">
    <xdr:from>
      <xdr:col>26</xdr:col>
      <xdr:colOff>121567</xdr:colOff>
      <xdr:row>7</xdr:row>
      <xdr:rowOff>30838</xdr:rowOff>
    </xdr:from>
    <xdr:to>
      <xdr:col>26</xdr:col>
      <xdr:colOff>436949</xdr:colOff>
      <xdr:row>8</xdr:row>
      <xdr:rowOff>130626</xdr:rowOff>
    </xdr:to>
    <xdr:pic>
      <xdr:nvPicPr>
        <xdr:cNvPr id="54" name="Graphic 53" descr="Play with solid fill">
          <a:extLst>
            <a:ext uri="{FF2B5EF4-FFF2-40B4-BE49-F238E27FC236}">
              <a16:creationId xmlns:a16="http://schemas.microsoft.com/office/drawing/2014/main" id="{AD4B892A-E57C-72D6-57F5-E726ADE74E4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rot="16200000">
          <a:off x="14117721" y="920898"/>
          <a:ext cx="281215" cy="315382"/>
        </a:xfrm>
        <a:prstGeom prst="rect">
          <a:avLst/>
        </a:prstGeom>
      </xdr:spPr>
    </xdr:pic>
    <xdr:clientData/>
  </xdr:twoCellAnchor>
  <xdr:twoCellAnchor>
    <xdr:from>
      <xdr:col>7</xdr:col>
      <xdr:colOff>412751</xdr:colOff>
      <xdr:row>10</xdr:row>
      <xdr:rowOff>127000</xdr:rowOff>
    </xdr:from>
    <xdr:to>
      <xdr:col>14</xdr:col>
      <xdr:colOff>444501</xdr:colOff>
      <xdr:row>26</xdr:row>
      <xdr:rowOff>148167</xdr:rowOff>
    </xdr:to>
    <xdr:graphicFrame macro="">
      <xdr:nvGraphicFramePr>
        <xdr:cNvPr id="55" name="Chart 54">
          <a:extLst>
            <a:ext uri="{FF2B5EF4-FFF2-40B4-BE49-F238E27FC236}">
              <a16:creationId xmlns:a16="http://schemas.microsoft.com/office/drawing/2014/main" id="{7F9E5CA4-5609-4DC4-8239-771165784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42333</xdr:colOff>
      <xdr:row>10</xdr:row>
      <xdr:rowOff>87689</xdr:rowOff>
    </xdr:from>
    <xdr:to>
      <xdr:col>22</xdr:col>
      <xdr:colOff>338667</xdr:colOff>
      <xdr:row>28</xdr:row>
      <xdr:rowOff>21166</xdr:rowOff>
    </xdr:to>
    <xdr:graphicFrame macro="">
      <xdr:nvGraphicFramePr>
        <xdr:cNvPr id="56" name="Chart 55">
          <a:extLst>
            <a:ext uri="{FF2B5EF4-FFF2-40B4-BE49-F238E27FC236}">
              <a16:creationId xmlns:a16="http://schemas.microsoft.com/office/drawing/2014/main" id="{52D47B9D-C1DF-448C-8C91-7839057E7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592665</xdr:colOff>
      <xdr:row>10</xdr:row>
      <xdr:rowOff>92226</xdr:rowOff>
    </xdr:from>
    <xdr:to>
      <xdr:col>22</xdr:col>
      <xdr:colOff>69547</xdr:colOff>
      <xdr:row>12</xdr:row>
      <xdr:rowOff>65011</xdr:rowOff>
    </xdr:to>
    <xdr:sp macro="" textlink="">
      <xdr:nvSpPr>
        <xdr:cNvPr id="57" name="Rectangle 56">
          <a:extLst>
            <a:ext uri="{FF2B5EF4-FFF2-40B4-BE49-F238E27FC236}">
              <a16:creationId xmlns:a16="http://schemas.microsoft.com/office/drawing/2014/main" id="{052A05B5-2653-8217-8970-B867198ABFC2}"/>
            </a:ext>
          </a:extLst>
        </xdr:cNvPr>
        <xdr:cNvSpPr/>
      </xdr:nvSpPr>
      <xdr:spPr>
        <a:xfrm>
          <a:off x="9800165" y="1891393"/>
          <a:ext cx="3773715" cy="3326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lt1"/>
              </a:solidFill>
              <a:effectLst/>
              <a:latin typeface="+mn-lt"/>
              <a:ea typeface="+mn-ea"/>
              <a:cs typeface="+mn-cs"/>
            </a:rPr>
            <a:t>Inventory Value by Therapeutic Area</a:t>
          </a:r>
          <a:endParaRPr lang="en-US" sz="1800"/>
        </a:p>
      </xdr:txBody>
    </xdr:sp>
    <xdr:clientData/>
  </xdr:twoCellAnchor>
  <xdr:twoCellAnchor>
    <xdr:from>
      <xdr:col>22</xdr:col>
      <xdr:colOff>568476</xdr:colOff>
      <xdr:row>24</xdr:row>
      <xdr:rowOff>167821</xdr:rowOff>
    </xdr:from>
    <xdr:to>
      <xdr:col>25</xdr:col>
      <xdr:colOff>417287</xdr:colOff>
      <xdr:row>26</xdr:row>
      <xdr:rowOff>31750</xdr:rowOff>
    </xdr:to>
    <xdr:sp macro="" textlink="">
      <xdr:nvSpPr>
        <xdr:cNvPr id="59" name="Rectangle 58">
          <a:extLst>
            <a:ext uri="{FF2B5EF4-FFF2-40B4-BE49-F238E27FC236}">
              <a16:creationId xmlns:a16="http://schemas.microsoft.com/office/drawing/2014/main" id="{AD126297-6FB8-1380-ED86-DFE40F1DDE05}"/>
            </a:ext>
          </a:extLst>
        </xdr:cNvPr>
        <xdr:cNvSpPr/>
      </xdr:nvSpPr>
      <xdr:spPr>
        <a:xfrm>
          <a:off x="14072809" y="4485821"/>
          <a:ext cx="1690311" cy="2237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Therapeutic Area Yes</a:t>
          </a:r>
        </a:p>
      </xdr:txBody>
    </xdr:sp>
    <xdr:clientData/>
  </xdr:twoCellAnchor>
  <xdr:twoCellAnchor editAs="oneCell">
    <xdr:from>
      <xdr:col>25</xdr:col>
      <xdr:colOff>580571</xdr:colOff>
      <xdr:row>25</xdr:row>
      <xdr:rowOff>25399</xdr:rowOff>
    </xdr:from>
    <xdr:to>
      <xdr:col>26</xdr:col>
      <xdr:colOff>190500</xdr:colOff>
      <xdr:row>26</xdr:row>
      <xdr:rowOff>61685</xdr:rowOff>
    </xdr:to>
    <xdr:pic>
      <xdr:nvPicPr>
        <xdr:cNvPr id="61" name="Graphic 60" descr="Heart with solid fill">
          <a:extLst>
            <a:ext uri="{FF2B5EF4-FFF2-40B4-BE49-F238E27FC236}">
              <a16:creationId xmlns:a16="http://schemas.microsoft.com/office/drawing/2014/main" id="{2A6C485F-4F07-98C4-660E-E32793DA489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51857" y="4198256"/>
          <a:ext cx="217714" cy="217714"/>
        </a:xfrm>
        <a:prstGeom prst="rect">
          <a:avLst/>
        </a:prstGeom>
      </xdr:spPr>
    </xdr:pic>
    <xdr:clientData/>
  </xdr:twoCellAnchor>
  <xdr:twoCellAnchor editAs="oneCell">
    <xdr:from>
      <xdr:col>23</xdr:col>
      <xdr:colOff>18590</xdr:colOff>
      <xdr:row>25</xdr:row>
      <xdr:rowOff>31751</xdr:rowOff>
    </xdr:from>
    <xdr:to>
      <xdr:col>23</xdr:col>
      <xdr:colOff>264583</xdr:colOff>
      <xdr:row>26</xdr:row>
      <xdr:rowOff>94383</xdr:rowOff>
    </xdr:to>
    <xdr:pic>
      <xdr:nvPicPr>
        <xdr:cNvPr id="62" name="Graphic 61" descr="Heart with solid fill">
          <a:extLst>
            <a:ext uri="{FF2B5EF4-FFF2-40B4-BE49-F238E27FC236}">
              <a16:creationId xmlns:a16="http://schemas.microsoft.com/office/drawing/2014/main" id="{4BF2643B-5B15-51AE-76C4-9A5F48E502D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flipH="1">
          <a:off x="14136757" y="4529668"/>
          <a:ext cx="245993" cy="242548"/>
        </a:xfrm>
        <a:prstGeom prst="rect">
          <a:avLst/>
        </a:prstGeom>
      </xdr:spPr>
    </xdr:pic>
    <xdr:clientData/>
  </xdr:twoCellAnchor>
  <xdr:twoCellAnchor>
    <xdr:from>
      <xdr:col>25</xdr:col>
      <xdr:colOff>553357</xdr:colOff>
      <xdr:row>24</xdr:row>
      <xdr:rowOff>163286</xdr:rowOff>
    </xdr:from>
    <xdr:to>
      <xdr:col>28</xdr:col>
      <xdr:colOff>226786</xdr:colOff>
      <xdr:row>26</xdr:row>
      <xdr:rowOff>45357</xdr:rowOff>
    </xdr:to>
    <xdr:sp macro="" textlink="">
      <xdr:nvSpPr>
        <xdr:cNvPr id="63" name="Rectangle 62">
          <a:extLst>
            <a:ext uri="{FF2B5EF4-FFF2-40B4-BE49-F238E27FC236}">
              <a16:creationId xmlns:a16="http://schemas.microsoft.com/office/drawing/2014/main" id="{0BD4CCE3-F7C2-C009-6E30-9659016300AB}"/>
            </a:ext>
          </a:extLst>
        </xdr:cNvPr>
        <xdr:cNvSpPr/>
      </xdr:nvSpPr>
      <xdr:spPr>
        <a:xfrm>
          <a:off x="13924643" y="4154715"/>
          <a:ext cx="1496786" cy="2449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Therapeutic Area No</a:t>
          </a:r>
        </a:p>
      </xdr:txBody>
    </xdr:sp>
    <xdr:clientData/>
  </xdr:twoCellAnchor>
  <xdr:twoCellAnchor>
    <xdr:from>
      <xdr:col>7</xdr:col>
      <xdr:colOff>275167</xdr:colOff>
      <xdr:row>28</xdr:row>
      <xdr:rowOff>99786</xdr:rowOff>
    </xdr:from>
    <xdr:to>
      <xdr:col>17</xdr:col>
      <xdr:colOff>254000</xdr:colOff>
      <xdr:row>51</xdr:row>
      <xdr:rowOff>74083</xdr:rowOff>
    </xdr:to>
    <xdr:sp macro="" textlink="">
      <xdr:nvSpPr>
        <xdr:cNvPr id="64" name="Rectangle: Rounded Corners 63">
          <a:extLst>
            <a:ext uri="{FF2B5EF4-FFF2-40B4-BE49-F238E27FC236}">
              <a16:creationId xmlns:a16="http://schemas.microsoft.com/office/drawing/2014/main" id="{A97B4A11-CCB2-3584-8483-EF8A97E5B23D}"/>
            </a:ext>
          </a:extLst>
        </xdr:cNvPr>
        <xdr:cNvSpPr/>
      </xdr:nvSpPr>
      <xdr:spPr>
        <a:xfrm>
          <a:off x="4572000" y="5137453"/>
          <a:ext cx="6117167" cy="4112380"/>
        </a:xfrm>
        <a:prstGeom prst="roundRect">
          <a:avLst>
            <a:gd name="adj" fmla="val 14560"/>
          </a:avLst>
        </a:prstGeom>
        <a:solidFill>
          <a:srgbClr val="040236"/>
        </a:solidFill>
        <a:ln>
          <a:noFill/>
        </a:ln>
        <a:effectLst>
          <a:outerShdw blurRad="444500" dist="190500" dir="8100000" algn="t" rotWithShape="0">
            <a:prstClr val="black">
              <a:alpha val="7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349250</xdr:colOff>
      <xdr:row>28</xdr:row>
      <xdr:rowOff>126999</xdr:rowOff>
    </xdr:from>
    <xdr:to>
      <xdr:col>28</xdr:col>
      <xdr:colOff>306917</xdr:colOff>
      <xdr:row>51</xdr:row>
      <xdr:rowOff>74083</xdr:rowOff>
    </xdr:to>
    <xdr:sp macro="" textlink="">
      <xdr:nvSpPr>
        <xdr:cNvPr id="65" name="Rectangle: Rounded Corners 64">
          <a:extLst>
            <a:ext uri="{FF2B5EF4-FFF2-40B4-BE49-F238E27FC236}">
              <a16:creationId xmlns:a16="http://schemas.microsoft.com/office/drawing/2014/main" id="{A692733C-C574-928E-ACD4-0F1289BB3CB0}"/>
            </a:ext>
          </a:extLst>
        </xdr:cNvPr>
        <xdr:cNvSpPr/>
      </xdr:nvSpPr>
      <xdr:spPr>
        <a:xfrm>
          <a:off x="10784417" y="5164666"/>
          <a:ext cx="6709833" cy="4085167"/>
        </a:xfrm>
        <a:prstGeom prst="roundRect">
          <a:avLst>
            <a:gd name="adj" fmla="val 14560"/>
          </a:avLst>
        </a:prstGeom>
        <a:solidFill>
          <a:srgbClr val="040236"/>
        </a:solidFill>
        <a:ln>
          <a:noFill/>
        </a:ln>
        <a:effectLst>
          <a:outerShdw blurRad="444500" dist="190500" dir="8100000" algn="t" rotWithShape="0">
            <a:prstClr val="black">
              <a:alpha val="7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222251</xdr:colOff>
      <xdr:row>28</xdr:row>
      <xdr:rowOff>99785</xdr:rowOff>
    </xdr:from>
    <xdr:to>
      <xdr:col>17</xdr:col>
      <xdr:colOff>158751</xdr:colOff>
      <xdr:row>50</xdr:row>
      <xdr:rowOff>84667</xdr:rowOff>
    </xdr:to>
    <xdr:graphicFrame macro="">
      <xdr:nvGraphicFramePr>
        <xdr:cNvPr id="66" name="Chart 65">
          <a:extLst>
            <a:ext uri="{FF2B5EF4-FFF2-40B4-BE49-F238E27FC236}">
              <a16:creationId xmlns:a16="http://schemas.microsoft.com/office/drawing/2014/main" id="{CAB042D0-7721-46A7-B9D1-63C399704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84668</xdr:colOff>
      <xdr:row>27</xdr:row>
      <xdr:rowOff>172357</xdr:rowOff>
    </xdr:from>
    <xdr:to>
      <xdr:col>30</xdr:col>
      <xdr:colOff>169334</xdr:colOff>
      <xdr:row>50</xdr:row>
      <xdr:rowOff>10583</xdr:rowOff>
    </xdr:to>
    <xdr:graphicFrame macro="">
      <xdr:nvGraphicFramePr>
        <xdr:cNvPr id="67" name="Chart 66">
          <a:extLst>
            <a:ext uri="{FF2B5EF4-FFF2-40B4-BE49-F238E27FC236}">
              <a16:creationId xmlns:a16="http://schemas.microsoft.com/office/drawing/2014/main" id="{FADFC761-C06C-476F-9833-0FE2C6A06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3</xdr:col>
      <xdr:colOff>385234</xdr:colOff>
      <xdr:row>18</xdr:row>
      <xdr:rowOff>115813</xdr:rowOff>
    </xdr:from>
    <xdr:to>
      <xdr:col>6</xdr:col>
      <xdr:colOff>501650</xdr:colOff>
      <xdr:row>25</xdr:row>
      <xdr:rowOff>1</xdr:rowOff>
    </xdr:to>
    <mc:AlternateContent xmlns:mc="http://schemas.openxmlformats.org/markup-compatibility/2006">
      <mc:Choice xmlns:a14="http://schemas.microsoft.com/office/drawing/2010/main" Requires="a14">
        <xdr:graphicFrame macro="">
          <xdr:nvGraphicFramePr>
            <xdr:cNvPr id="74" name="Country">
              <a:extLst>
                <a:ext uri="{FF2B5EF4-FFF2-40B4-BE49-F238E27FC236}">
                  <a16:creationId xmlns:a16="http://schemas.microsoft.com/office/drawing/2014/main" id="{C370D127-6D6E-4423-9F44-2A77A72E846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214034" y="3544813"/>
              <a:ext cx="1945216" cy="1217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364067</xdr:colOff>
      <xdr:row>28</xdr:row>
      <xdr:rowOff>54733</xdr:rowOff>
    </xdr:from>
    <xdr:to>
      <xdr:col>7</xdr:col>
      <xdr:colOff>14818</xdr:colOff>
      <xdr:row>36</xdr:row>
      <xdr:rowOff>1816</xdr:rowOff>
    </xdr:to>
    <mc:AlternateContent xmlns:mc="http://schemas.openxmlformats.org/markup-compatibility/2006">
      <mc:Choice xmlns:a14="http://schemas.microsoft.com/office/drawing/2010/main" Requires="a14">
        <xdr:graphicFrame macro="">
          <xdr:nvGraphicFramePr>
            <xdr:cNvPr id="75" name="Therapeutic Area">
              <a:extLst>
                <a:ext uri="{FF2B5EF4-FFF2-40B4-BE49-F238E27FC236}">
                  <a16:creationId xmlns:a16="http://schemas.microsoft.com/office/drawing/2014/main" id="{6C43E2AB-035E-47C5-932A-62FF837196B3}"/>
                </a:ext>
              </a:extLst>
            </xdr:cNvPr>
            <xdr:cNvGraphicFramePr/>
          </xdr:nvGraphicFramePr>
          <xdr:xfrm>
            <a:off x="0" y="0"/>
            <a:ext cx="0" cy="0"/>
          </xdr:xfrm>
          <a:graphic>
            <a:graphicData uri="http://schemas.microsoft.com/office/drawing/2010/slicer">
              <sle:slicer xmlns:sle="http://schemas.microsoft.com/office/drawing/2010/slicer" name="Therapeutic Area"/>
            </a:graphicData>
          </a:graphic>
        </xdr:graphicFrame>
      </mc:Choice>
      <mc:Fallback>
        <xdr:sp macro="" textlink="">
          <xdr:nvSpPr>
            <xdr:cNvPr id="0" name=""/>
            <xdr:cNvSpPr>
              <a:spLocks noTextEdit="1"/>
            </xdr:cNvSpPr>
          </xdr:nvSpPr>
          <xdr:spPr>
            <a:xfrm>
              <a:off x="2192867" y="5388733"/>
              <a:ext cx="2089151" cy="1471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273050</xdr:colOff>
      <xdr:row>16</xdr:row>
      <xdr:rowOff>303</xdr:rowOff>
    </xdr:from>
    <xdr:to>
      <xdr:col>6</xdr:col>
      <xdr:colOff>93133</xdr:colOff>
      <xdr:row>18</xdr:row>
      <xdr:rowOff>303</xdr:rowOff>
    </xdr:to>
    <xdr:sp macro="" textlink="">
      <xdr:nvSpPr>
        <xdr:cNvPr id="10" name="Rectangle 9">
          <a:extLst>
            <a:ext uri="{FF2B5EF4-FFF2-40B4-BE49-F238E27FC236}">
              <a16:creationId xmlns:a16="http://schemas.microsoft.com/office/drawing/2014/main" id="{F61DD853-00DA-10A9-F6C0-23DC023CAA88}"/>
            </a:ext>
          </a:extLst>
        </xdr:cNvPr>
        <xdr:cNvSpPr/>
      </xdr:nvSpPr>
      <xdr:spPr>
        <a:xfrm>
          <a:off x="2711450" y="3048303"/>
          <a:ext cx="1039283" cy="381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COUNTRY</a:t>
          </a:r>
        </a:p>
      </xdr:txBody>
    </xdr:sp>
    <xdr:clientData/>
  </xdr:twoCellAnchor>
  <xdr:twoCellAnchor>
    <xdr:from>
      <xdr:col>4</xdr:col>
      <xdr:colOff>40215</xdr:colOff>
      <xdr:row>26</xdr:row>
      <xdr:rowOff>55639</xdr:rowOff>
    </xdr:from>
    <xdr:to>
      <xdr:col>6</xdr:col>
      <xdr:colOff>304799</xdr:colOff>
      <xdr:row>27</xdr:row>
      <xdr:rowOff>161472</xdr:rowOff>
    </xdr:to>
    <xdr:sp macro="" textlink="">
      <xdr:nvSpPr>
        <xdr:cNvPr id="12" name="Rectangle 11">
          <a:extLst>
            <a:ext uri="{FF2B5EF4-FFF2-40B4-BE49-F238E27FC236}">
              <a16:creationId xmlns:a16="http://schemas.microsoft.com/office/drawing/2014/main" id="{5518E78F-96A5-1ACD-DCFC-5533C422FDDD}"/>
            </a:ext>
          </a:extLst>
        </xdr:cNvPr>
        <xdr:cNvSpPr/>
      </xdr:nvSpPr>
      <xdr:spPr>
        <a:xfrm>
          <a:off x="2478615" y="5008639"/>
          <a:ext cx="1483784" cy="2963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THERAPEUTIC AREA</a:t>
          </a:r>
          <a:r>
            <a:rPr lang="en-US" sz="1400" b="1">
              <a:effectLst/>
            </a:rPr>
            <a:t> </a:t>
          </a:r>
          <a:endParaRPr lang="en-US" sz="1400" b="1"/>
        </a:p>
      </xdr:txBody>
    </xdr:sp>
    <xdr:clientData/>
  </xdr:twoCellAnchor>
  <xdr:twoCellAnchor>
    <xdr:from>
      <xdr:col>4</xdr:col>
      <xdr:colOff>414867</xdr:colOff>
      <xdr:row>37</xdr:row>
      <xdr:rowOff>104625</xdr:rowOff>
    </xdr:from>
    <xdr:to>
      <xdr:col>6</xdr:col>
      <xdr:colOff>179917</xdr:colOff>
      <xdr:row>39</xdr:row>
      <xdr:rowOff>74991</xdr:rowOff>
    </xdr:to>
    <xdr:sp macro="" textlink="">
      <xdr:nvSpPr>
        <xdr:cNvPr id="13" name="Rectangle 12">
          <a:extLst>
            <a:ext uri="{FF2B5EF4-FFF2-40B4-BE49-F238E27FC236}">
              <a16:creationId xmlns:a16="http://schemas.microsoft.com/office/drawing/2014/main" id="{3E414919-1491-49F4-D154-B20462D65CCF}"/>
            </a:ext>
          </a:extLst>
        </xdr:cNvPr>
        <xdr:cNvSpPr/>
      </xdr:nvSpPr>
      <xdr:spPr>
        <a:xfrm>
          <a:off x="2870200" y="6761542"/>
          <a:ext cx="992717" cy="3301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COLD CHAIN</a:t>
          </a:r>
          <a:r>
            <a:rPr lang="en-US" sz="1200" b="1">
              <a:effectLst/>
            </a:rPr>
            <a:t> </a:t>
          </a:r>
          <a:endParaRPr lang="en-US" sz="1200" b="1"/>
        </a:p>
      </xdr:txBody>
    </xdr:sp>
    <xdr:clientData/>
  </xdr:twoCellAnchor>
  <xdr:twoCellAnchor>
    <xdr:from>
      <xdr:col>3</xdr:col>
      <xdr:colOff>560917</xdr:colOff>
      <xdr:row>46</xdr:row>
      <xdr:rowOff>42333</xdr:rowOff>
    </xdr:from>
    <xdr:to>
      <xdr:col>6</xdr:col>
      <xdr:colOff>275167</xdr:colOff>
      <xdr:row>47</xdr:row>
      <xdr:rowOff>105834</xdr:rowOff>
    </xdr:to>
    <xdr:sp macro="" textlink="">
      <xdr:nvSpPr>
        <xdr:cNvPr id="20" name="Rectangle 19">
          <a:extLst>
            <a:ext uri="{FF2B5EF4-FFF2-40B4-BE49-F238E27FC236}">
              <a16:creationId xmlns:a16="http://schemas.microsoft.com/office/drawing/2014/main" id="{50E3D5FC-A153-DF50-2F14-5FAA5113B2A6}"/>
            </a:ext>
          </a:extLst>
        </xdr:cNvPr>
        <xdr:cNvSpPr/>
      </xdr:nvSpPr>
      <xdr:spPr>
        <a:xfrm>
          <a:off x="2402417" y="8318500"/>
          <a:ext cx="1555750" cy="2434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FREDRICK</a:t>
          </a:r>
          <a:r>
            <a:rPr lang="en-US" sz="1100" baseline="0"/>
            <a:t> J MACHEMBA</a:t>
          </a:r>
        </a:p>
        <a:p>
          <a:pPr algn="l"/>
          <a:endParaRPr lang="en-US" sz="1100"/>
        </a:p>
      </xdr:txBody>
    </xdr:sp>
    <xdr:clientData/>
  </xdr:twoCellAnchor>
  <xdr:twoCellAnchor>
    <xdr:from>
      <xdr:col>3</xdr:col>
      <xdr:colOff>465667</xdr:colOff>
      <xdr:row>47</xdr:row>
      <xdr:rowOff>31751</xdr:rowOff>
    </xdr:from>
    <xdr:to>
      <xdr:col>6</xdr:col>
      <xdr:colOff>381001</xdr:colOff>
      <xdr:row>48</xdr:row>
      <xdr:rowOff>127000</xdr:rowOff>
    </xdr:to>
    <xdr:sp macro="" textlink="">
      <xdr:nvSpPr>
        <xdr:cNvPr id="21" name="Rectangle 20">
          <a:extLst>
            <a:ext uri="{FF2B5EF4-FFF2-40B4-BE49-F238E27FC236}">
              <a16:creationId xmlns:a16="http://schemas.microsoft.com/office/drawing/2014/main" id="{243DA30C-DD3E-79EE-0181-AAC347889F13}"/>
            </a:ext>
          </a:extLst>
        </xdr:cNvPr>
        <xdr:cNvSpPr/>
      </xdr:nvSpPr>
      <xdr:spPr>
        <a:xfrm>
          <a:off x="2307167" y="8487834"/>
          <a:ext cx="1756834" cy="2751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Data Analytics Specialist</a:t>
          </a:r>
        </a:p>
      </xdr:txBody>
    </xdr:sp>
    <xdr:clientData/>
  </xdr:twoCellAnchor>
  <xdr:twoCellAnchor>
    <xdr:from>
      <xdr:col>4</xdr:col>
      <xdr:colOff>306916</xdr:colOff>
      <xdr:row>48</xdr:row>
      <xdr:rowOff>31750</xdr:rowOff>
    </xdr:from>
    <xdr:to>
      <xdr:col>5</xdr:col>
      <xdr:colOff>423332</xdr:colOff>
      <xdr:row>49</xdr:row>
      <xdr:rowOff>126999</xdr:rowOff>
    </xdr:to>
    <xdr:sp macro="" textlink="">
      <xdr:nvSpPr>
        <xdr:cNvPr id="22" name="Rectangle 21">
          <a:extLst>
            <a:ext uri="{FF2B5EF4-FFF2-40B4-BE49-F238E27FC236}">
              <a16:creationId xmlns:a16="http://schemas.microsoft.com/office/drawing/2014/main" id="{508A530E-28B5-1750-AA01-6C9462341C03}"/>
            </a:ext>
          </a:extLst>
        </xdr:cNvPr>
        <xdr:cNvSpPr/>
      </xdr:nvSpPr>
      <xdr:spPr>
        <a:xfrm>
          <a:off x="2762249" y="8667750"/>
          <a:ext cx="730250" cy="2751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t>© 2026</a:t>
          </a:r>
          <a:endParaRPr lang="en-US" sz="1100" b="1"/>
        </a:p>
      </xdr:txBody>
    </xdr:sp>
    <xdr:clientData/>
  </xdr:twoCellAnchor>
  <xdr:twoCellAnchor>
    <xdr:from>
      <xdr:col>22</xdr:col>
      <xdr:colOff>301625</xdr:colOff>
      <xdr:row>10</xdr:row>
      <xdr:rowOff>15874</xdr:rowOff>
    </xdr:from>
    <xdr:to>
      <xdr:col>28</xdr:col>
      <xdr:colOff>412750</xdr:colOff>
      <xdr:row>25</xdr:row>
      <xdr:rowOff>111125</xdr:rowOff>
    </xdr:to>
    <xdr:graphicFrame macro="">
      <xdr:nvGraphicFramePr>
        <xdr:cNvPr id="18" name="Chart 17">
          <a:extLst>
            <a:ext uri="{FF2B5EF4-FFF2-40B4-BE49-F238E27FC236}">
              <a16:creationId xmlns:a16="http://schemas.microsoft.com/office/drawing/2014/main" id="{AAFF348A-454C-40D9-99FC-51351261F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3</xdr:col>
      <xdr:colOff>428625</xdr:colOff>
      <xdr:row>39</xdr:row>
      <xdr:rowOff>3176</xdr:rowOff>
    </xdr:from>
    <xdr:to>
      <xdr:col>6</xdr:col>
      <xdr:colOff>587375</xdr:colOff>
      <xdr:row>43</xdr:row>
      <xdr:rowOff>34926</xdr:rowOff>
    </xdr:to>
    <mc:AlternateContent xmlns:mc="http://schemas.openxmlformats.org/markup-compatibility/2006">
      <mc:Choice xmlns:a14="http://schemas.microsoft.com/office/drawing/2010/main" Requires="a14">
        <xdr:graphicFrame macro="">
          <xdr:nvGraphicFramePr>
            <xdr:cNvPr id="23" name="Cold Chain Required 1">
              <a:extLst>
                <a:ext uri="{FF2B5EF4-FFF2-40B4-BE49-F238E27FC236}">
                  <a16:creationId xmlns:a16="http://schemas.microsoft.com/office/drawing/2014/main" id="{4B9D76D2-89D8-4B88-98C3-CAC2C0058FBA}"/>
                </a:ext>
              </a:extLst>
            </xdr:cNvPr>
            <xdr:cNvGraphicFramePr/>
          </xdr:nvGraphicFramePr>
          <xdr:xfrm>
            <a:off x="0" y="0"/>
            <a:ext cx="0" cy="0"/>
          </xdr:xfrm>
          <a:graphic>
            <a:graphicData uri="http://schemas.microsoft.com/office/drawing/2010/slicer">
              <sle:slicer xmlns:sle="http://schemas.microsoft.com/office/drawing/2010/slicer" name="Cold Chain Required 1"/>
            </a:graphicData>
          </a:graphic>
        </xdr:graphicFrame>
      </mc:Choice>
      <mc:Fallback>
        <xdr:sp macro="" textlink="">
          <xdr:nvSpPr>
            <xdr:cNvPr id="0" name=""/>
            <xdr:cNvSpPr>
              <a:spLocks noTextEdit="1"/>
            </xdr:cNvSpPr>
          </xdr:nvSpPr>
          <xdr:spPr>
            <a:xfrm>
              <a:off x="2257425" y="7432676"/>
              <a:ext cx="1987550" cy="793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8.884962384262" createdVersion="8" refreshedVersion="8" minRefreshableVersion="3" recordCount="83" xr:uid="{9D8980CB-C31B-49E4-AA57-75130F663044}">
  <cacheSource type="worksheet">
    <worksheetSource name="Table1"/>
  </cacheSource>
  <cacheFields count="9">
    <cacheField name="Product Name" numFmtId="0">
      <sharedItems count="25">
        <s v="Amoxicillin 500mg Capsule"/>
        <s v="Artemether-Lumefantrine 20/120"/>
        <s v="Oral Rehydration Salts"/>
        <s v="Zinc Sulfate 20mg"/>
        <s v="Tenofovir/Lamivudine/Dolutegravir"/>
        <s v="Isoniazid 300mg"/>
        <s v="Rifampicin 300mg"/>
        <s v="Oxytocin 10IU/mL Injection"/>
        <s v="Magnesium Sulfate 50% Inj"/>
        <s v="Insulin Human 100IU/mL"/>
        <s v="Salbutamol Inhaler 100mcg"/>
        <s v="Amlodipine 5mg"/>
        <s v="Metformin 500mg"/>
        <s v="Paracetamol 500mg"/>
        <s v="Ceftriaxone 1g Injection"/>
        <s v="Pentavalent Vaccine"/>
        <s v="Measles-Rubella Vaccine"/>
        <s v="BCG Vaccine"/>
        <s v="Oral Polio Vaccine"/>
        <s v="Yellow Fever Vaccine"/>
        <s v="Male Latex Condom"/>
        <s v="Combined Oral Contraceptive"/>
        <s v="Malaria RDT Kit"/>
        <s v="HIV Rapid Test Kit"/>
        <s v="Pregnancy Test Strip"/>
      </sharedItems>
    </cacheField>
    <cacheField name="Country" numFmtId="0">
      <sharedItems count="5">
        <s v="Kenya"/>
        <s v="Nigeria"/>
        <s v="Uganda"/>
        <s v="Tanzania"/>
        <s v="Ghana"/>
      </sharedItems>
    </cacheField>
    <cacheField name="Therapeutic Area" numFmtId="0">
      <sharedItems count="8">
        <s v="Anti-Infective"/>
        <s v="Malaria"/>
        <s v="MNCH"/>
        <s v="HIV"/>
        <s v="TB"/>
        <s v="NCD"/>
        <s v="Vaccine"/>
        <s v="Reproductive"/>
      </sharedItems>
    </cacheField>
    <cacheField name="Cold Chain Required" numFmtId="0">
      <sharedItems count="2">
        <s v="No"/>
        <s v="Yes"/>
      </sharedItems>
    </cacheField>
    <cacheField name="Stock on Hand" numFmtId="3">
      <sharedItems containsSemiMixedTypes="0" containsString="0" containsNumber="1" containsInteger="1" minValue="1176" maxValue="9956" count="82">
        <n v="8293"/>
        <n v="2259"/>
        <n v="5767"/>
        <n v="8482"/>
        <n v="1723"/>
        <n v="7817"/>
        <n v="1924"/>
        <n v="7661"/>
        <n v="8768"/>
        <n v="1567"/>
        <n v="8047"/>
        <n v="9956"/>
        <n v="5419"/>
        <n v="5315"/>
        <n v="2067"/>
        <n v="3561"/>
        <n v="1735"/>
        <n v="9901"/>
        <n v="6945"/>
        <n v="9532"/>
        <n v="3362"/>
        <n v="8989"/>
        <n v="2628"/>
        <n v="8998"/>
        <n v="4153"/>
        <n v="2853"/>
        <n v="4931"/>
        <n v="3050"/>
        <n v="3664"/>
        <n v="2002"/>
        <n v="1176"/>
        <n v="6203"/>
        <n v="5483"/>
        <n v="4697"/>
        <n v="8856"/>
        <n v="6643"/>
        <n v="4717"/>
        <n v="4019"/>
        <n v="3426"/>
        <n v="2069"/>
        <n v="3850"/>
        <n v="4128"/>
        <n v="7971"/>
        <n v="5727"/>
        <n v="9242"/>
        <n v="8231"/>
        <n v="6956"/>
        <n v="5334"/>
        <n v="4379"/>
        <n v="8406"/>
        <n v="4807"/>
        <n v="1680"/>
        <n v="5896"/>
        <n v="2534"/>
        <n v="4236"/>
        <n v="3739"/>
        <n v="9952"/>
        <n v="7671"/>
        <n v="2947"/>
        <n v="9770"/>
        <n v="3138"/>
        <n v="2476"/>
        <n v="9358"/>
        <n v="1434"/>
        <n v="6243"/>
        <n v="8894"/>
        <n v="8994"/>
        <n v="8789"/>
        <n v="8288"/>
        <n v="7283"/>
        <n v="5656"/>
        <n v="9043"/>
        <n v="5571"/>
        <n v="4090"/>
        <n v="5867"/>
        <n v="4272"/>
        <n v="8408"/>
        <n v="1867"/>
        <n v="9425"/>
        <n v="2661"/>
        <n v="8300"/>
        <n v="9269"/>
      </sharedItems>
    </cacheField>
    <cacheField name="Unit Cost" numFmtId="164">
      <sharedItems containsSemiMixedTypes="0" containsString="0" containsNumber="1" minValue="0.02" maxValue="4.2" count="21">
        <n v="0.08"/>
        <n v="0.95"/>
        <n v="0.12"/>
        <n v="0.05"/>
        <n v="1.45"/>
        <n v="0.1"/>
        <n v="0.18"/>
        <n v="0.4"/>
        <n v="0.55000000000000004"/>
        <n v="4.2"/>
        <n v="1.8"/>
        <n v="0.04"/>
        <n v="0.03"/>
        <n v="0.02"/>
        <n v="0.65"/>
        <n v="1.1000000000000001"/>
        <n v="0.85"/>
        <n v="0.2"/>
        <n v="0.3"/>
        <n v="1.4"/>
        <n v="0.45"/>
      </sharedItems>
    </cacheField>
    <cacheField name="Inventory Value" numFmtId="164">
      <sharedItems containsSemiMixedTypes="0" containsString="0" containsNumber="1" minValue="62.07" maxValue="26052.600000000002" count="83">
        <n v="663.44"/>
        <n v="180.72"/>
        <n v="461.36"/>
        <n v="678.56000000000006"/>
        <n v="137.84"/>
        <n v="7426.15"/>
        <n v="1827.8"/>
        <n v="7277.95"/>
        <n v="8329.6"/>
        <n v="1488.6499999999999"/>
        <n v="965.64"/>
        <n v="1194.72"/>
        <n v="270.95"/>
        <n v="265.75"/>
        <n v="103.35000000000001"/>
        <n v="178.05"/>
        <n v="2515.75"/>
        <n v="14356.449999999999"/>
        <n v="10070.25"/>
        <n v="953.2"/>
        <n v="336.20000000000005"/>
        <n v="1618.02"/>
        <n v="473.03999999999996"/>
        <n v="1619.6399999999999"/>
        <n v="1661.2"/>
        <n v="1141.2"/>
        <n v="1972.4"/>
        <n v="1677.5000000000002"/>
        <n v="15388.800000000001"/>
        <n v="8408.4"/>
        <n v="4939.2"/>
        <n v="26052.600000000002"/>
        <n v="9869.4"/>
        <n v="8454.6"/>
        <n v="15940.800000000001"/>
        <n v="265.72000000000003"/>
        <n v="188.68"/>
        <n v="160.76"/>
        <n v="137.04"/>
        <n v="62.07"/>
        <n v="115.5"/>
        <n v="123.83999999999999"/>
        <n v="239.13"/>
        <n v="114.54"/>
        <n v="184.84"/>
        <n v="164.62"/>
        <n v="4521.4000000000005"/>
        <n v="3467.1"/>
        <n v="2846.35"/>
        <n v="9246.6"/>
        <n v="5287.7000000000007"/>
        <n v="1848.0000000000002"/>
        <n v="6485.6"/>
        <n v="2153.9"/>
        <n v="3600.6"/>
        <n v="3178.15"/>
        <n v="1990.4"/>
        <n v="1534.2"/>
        <n v="884.1"/>
        <n v="2931"/>
        <n v="1068.3"/>
        <n v="4393.2"/>
        <n v="3466.3999999999996"/>
        <n v="13101.199999999999"/>
        <n v="2007.6"/>
        <n v="249.72"/>
        <n v="355.76"/>
        <n v="359.76"/>
        <n v="351.56"/>
        <n v="331.52"/>
        <n v="3277.35"/>
        <n v="2545.2000000000003"/>
        <n v="4973.6500000000005"/>
        <n v="3064.05"/>
        <n v="3476.5"/>
        <n v="4986.95"/>
        <n v="3631.2"/>
        <n v="7146.8"/>
        <n v="224.04"/>
        <n v="1131"/>
        <n v="319.32"/>
        <n v="996"/>
        <n v="1112.28"/>
      </sharedItems>
    </cacheField>
    <cacheField name="Days of Stock" numFmtId="3">
      <sharedItems containsSemiMixedTypes="0" containsString="0" containsNumber="1" containsInteger="1" minValue="30" maxValue="120" count="54">
        <n v="89"/>
        <n v="82"/>
        <n v="103"/>
        <n v="71"/>
        <n v="52"/>
        <n v="74"/>
        <n v="55"/>
        <n v="65"/>
        <n v="30"/>
        <n v="40"/>
        <n v="73"/>
        <n v="107"/>
        <n v="105"/>
        <n v="42"/>
        <n v="100"/>
        <n v="95"/>
        <n v="78"/>
        <n v="33"/>
        <n v="67"/>
        <n v="114"/>
        <n v="119"/>
        <n v="35"/>
        <n v="106"/>
        <n v="41"/>
        <n v="72"/>
        <n v="63"/>
        <n v="76"/>
        <n v="47"/>
        <n v="118"/>
        <n v="98"/>
        <n v="80"/>
        <n v="70"/>
        <n v="49"/>
        <n v="58"/>
        <n v="44"/>
        <n v="77"/>
        <n v="111"/>
        <n v="36"/>
        <n v="117"/>
        <n v="104"/>
        <n v="83"/>
        <n v="93"/>
        <n v="85"/>
        <n v="34"/>
        <n v="37"/>
        <n v="50"/>
        <n v="79"/>
        <n v="99"/>
        <n v="116"/>
        <n v="69"/>
        <n v="75"/>
        <n v="68"/>
        <n v="120"/>
        <n v="54"/>
      </sharedItems>
    </cacheField>
    <cacheField name="Facility Count" numFmtId="3">
      <sharedItems containsSemiMixedTypes="0" containsString="0" containsNumber="1" containsInteger="1" minValue="1" maxValue="5" count="5">
        <n v="1"/>
        <n v="3"/>
        <n v="4"/>
        <n v="2"/>
        <n v="5"/>
      </sharedItems>
    </cacheField>
  </cacheFields>
  <extLst>
    <ext xmlns:x14="http://schemas.microsoft.com/office/spreadsheetml/2009/9/main" uri="{725AE2AE-9491-48be-B2B4-4EB974FC3084}">
      <x14:pivotCacheDefinition pivotCacheId="434434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x v="0"/>
    <x v="0"/>
    <x v="0"/>
    <x v="0"/>
    <x v="0"/>
    <x v="0"/>
    <x v="0"/>
    <x v="0"/>
    <x v="0"/>
  </r>
  <r>
    <x v="0"/>
    <x v="1"/>
    <x v="0"/>
    <x v="0"/>
    <x v="1"/>
    <x v="0"/>
    <x v="1"/>
    <x v="1"/>
    <x v="1"/>
  </r>
  <r>
    <x v="0"/>
    <x v="2"/>
    <x v="0"/>
    <x v="0"/>
    <x v="2"/>
    <x v="0"/>
    <x v="2"/>
    <x v="2"/>
    <x v="0"/>
  </r>
  <r>
    <x v="0"/>
    <x v="3"/>
    <x v="0"/>
    <x v="0"/>
    <x v="3"/>
    <x v="0"/>
    <x v="3"/>
    <x v="3"/>
    <x v="0"/>
  </r>
  <r>
    <x v="0"/>
    <x v="4"/>
    <x v="0"/>
    <x v="0"/>
    <x v="4"/>
    <x v="0"/>
    <x v="4"/>
    <x v="4"/>
    <x v="2"/>
  </r>
  <r>
    <x v="1"/>
    <x v="0"/>
    <x v="1"/>
    <x v="0"/>
    <x v="5"/>
    <x v="1"/>
    <x v="5"/>
    <x v="5"/>
    <x v="0"/>
  </r>
  <r>
    <x v="1"/>
    <x v="1"/>
    <x v="1"/>
    <x v="0"/>
    <x v="6"/>
    <x v="1"/>
    <x v="6"/>
    <x v="6"/>
    <x v="3"/>
  </r>
  <r>
    <x v="1"/>
    <x v="2"/>
    <x v="1"/>
    <x v="0"/>
    <x v="7"/>
    <x v="1"/>
    <x v="7"/>
    <x v="6"/>
    <x v="3"/>
  </r>
  <r>
    <x v="1"/>
    <x v="3"/>
    <x v="1"/>
    <x v="0"/>
    <x v="8"/>
    <x v="1"/>
    <x v="8"/>
    <x v="7"/>
    <x v="1"/>
  </r>
  <r>
    <x v="1"/>
    <x v="4"/>
    <x v="1"/>
    <x v="0"/>
    <x v="9"/>
    <x v="1"/>
    <x v="9"/>
    <x v="8"/>
    <x v="0"/>
  </r>
  <r>
    <x v="2"/>
    <x v="2"/>
    <x v="2"/>
    <x v="0"/>
    <x v="10"/>
    <x v="2"/>
    <x v="10"/>
    <x v="9"/>
    <x v="3"/>
  </r>
  <r>
    <x v="2"/>
    <x v="4"/>
    <x v="2"/>
    <x v="0"/>
    <x v="11"/>
    <x v="2"/>
    <x v="11"/>
    <x v="10"/>
    <x v="2"/>
  </r>
  <r>
    <x v="3"/>
    <x v="1"/>
    <x v="2"/>
    <x v="0"/>
    <x v="12"/>
    <x v="3"/>
    <x v="12"/>
    <x v="11"/>
    <x v="2"/>
  </r>
  <r>
    <x v="3"/>
    <x v="2"/>
    <x v="2"/>
    <x v="0"/>
    <x v="13"/>
    <x v="3"/>
    <x v="13"/>
    <x v="12"/>
    <x v="0"/>
  </r>
  <r>
    <x v="3"/>
    <x v="3"/>
    <x v="2"/>
    <x v="0"/>
    <x v="14"/>
    <x v="3"/>
    <x v="14"/>
    <x v="13"/>
    <x v="2"/>
  </r>
  <r>
    <x v="3"/>
    <x v="4"/>
    <x v="2"/>
    <x v="0"/>
    <x v="15"/>
    <x v="3"/>
    <x v="15"/>
    <x v="14"/>
    <x v="3"/>
  </r>
  <r>
    <x v="4"/>
    <x v="0"/>
    <x v="3"/>
    <x v="0"/>
    <x v="16"/>
    <x v="4"/>
    <x v="16"/>
    <x v="15"/>
    <x v="0"/>
  </r>
  <r>
    <x v="4"/>
    <x v="2"/>
    <x v="3"/>
    <x v="0"/>
    <x v="17"/>
    <x v="4"/>
    <x v="17"/>
    <x v="16"/>
    <x v="0"/>
  </r>
  <r>
    <x v="4"/>
    <x v="4"/>
    <x v="3"/>
    <x v="0"/>
    <x v="18"/>
    <x v="4"/>
    <x v="18"/>
    <x v="17"/>
    <x v="1"/>
  </r>
  <r>
    <x v="5"/>
    <x v="0"/>
    <x v="4"/>
    <x v="0"/>
    <x v="19"/>
    <x v="5"/>
    <x v="19"/>
    <x v="18"/>
    <x v="3"/>
  </r>
  <r>
    <x v="5"/>
    <x v="4"/>
    <x v="4"/>
    <x v="0"/>
    <x v="20"/>
    <x v="5"/>
    <x v="20"/>
    <x v="19"/>
    <x v="0"/>
  </r>
  <r>
    <x v="6"/>
    <x v="0"/>
    <x v="4"/>
    <x v="0"/>
    <x v="21"/>
    <x v="6"/>
    <x v="21"/>
    <x v="20"/>
    <x v="3"/>
  </r>
  <r>
    <x v="6"/>
    <x v="3"/>
    <x v="4"/>
    <x v="0"/>
    <x v="22"/>
    <x v="6"/>
    <x v="22"/>
    <x v="0"/>
    <x v="2"/>
  </r>
  <r>
    <x v="6"/>
    <x v="4"/>
    <x v="4"/>
    <x v="0"/>
    <x v="23"/>
    <x v="6"/>
    <x v="23"/>
    <x v="21"/>
    <x v="1"/>
  </r>
  <r>
    <x v="7"/>
    <x v="0"/>
    <x v="2"/>
    <x v="1"/>
    <x v="24"/>
    <x v="7"/>
    <x v="24"/>
    <x v="22"/>
    <x v="3"/>
  </r>
  <r>
    <x v="7"/>
    <x v="3"/>
    <x v="2"/>
    <x v="1"/>
    <x v="25"/>
    <x v="7"/>
    <x v="25"/>
    <x v="23"/>
    <x v="2"/>
  </r>
  <r>
    <x v="7"/>
    <x v="4"/>
    <x v="2"/>
    <x v="1"/>
    <x v="26"/>
    <x v="7"/>
    <x v="26"/>
    <x v="24"/>
    <x v="2"/>
  </r>
  <r>
    <x v="8"/>
    <x v="4"/>
    <x v="2"/>
    <x v="0"/>
    <x v="27"/>
    <x v="8"/>
    <x v="27"/>
    <x v="25"/>
    <x v="0"/>
  </r>
  <r>
    <x v="9"/>
    <x v="0"/>
    <x v="5"/>
    <x v="1"/>
    <x v="28"/>
    <x v="9"/>
    <x v="28"/>
    <x v="26"/>
    <x v="1"/>
  </r>
  <r>
    <x v="9"/>
    <x v="1"/>
    <x v="5"/>
    <x v="1"/>
    <x v="29"/>
    <x v="9"/>
    <x v="29"/>
    <x v="27"/>
    <x v="1"/>
  </r>
  <r>
    <x v="9"/>
    <x v="2"/>
    <x v="5"/>
    <x v="1"/>
    <x v="30"/>
    <x v="9"/>
    <x v="30"/>
    <x v="28"/>
    <x v="1"/>
  </r>
  <r>
    <x v="9"/>
    <x v="3"/>
    <x v="5"/>
    <x v="1"/>
    <x v="31"/>
    <x v="9"/>
    <x v="31"/>
    <x v="10"/>
    <x v="1"/>
  </r>
  <r>
    <x v="10"/>
    <x v="1"/>
    <x v="5"/>
    <x v="0"/>
    <x v="32"/>
    <x v="10"/>
    <x v="32"/>
    <x v="29"/>
    <x v="3"/>
  </r>
  <r>
    <x v="10"/>
    <x v="3"/>
    <x v="5"/>
    <x v="0"/>
    <x v="33"/>
    <x v="10"/>
    <x v="33"/>
    <x v="30"/>
    <x v="4"/>
  </r>
  <r>
    <x v="10"/>
    <x v="4"/>
    <x v="5"/>
    <x v="0"/>
    <x v="34"/>
    <x v="10"/>
    <x v="34"/>
    <x v="7"/>
    <x v="1"/>
  </r>
  <r>
    <x v="11"/>
    <x v="0"/>
    <x v="5"/>
    <x v="0"/>
    <x v="35"/>
    <x v="11"/>
    <x v="35"/>
    <x v="13"/>
    <x v="0"/>
  </r>
  <r>
    <x v="11"/>
    <x v="1"/>
    <x v="5"/>
    <x v="0"/>
    <x v="36"/>
    <x v="11"/>
    <x v="36"/>
    <x v="31"/>
    <x v="2"/>
  </r>
  <r>
    <x v="11"/>
    <x v="2"/>
    <x v="5"/>
    <x v="0"/>
    <x v="37"/>
    <x v="11"/>
    <x v="37"/>
    <x v="32"/>
    <x v="1"/>
  </r>
  <r>
    <x v="11"/>
    <x v="3"/>
    <x v="5"/>
    <x v="0"/>
    <x v="38"/>
    <x v="11"/>
    <x v="38"/>
    <x v="33"/>
    <x v="3"/>
  </r>
  <r>
    <x v="12"/>
    <x v="0"/>
    <x v="5"/>
    <x v="0"/>
    <x v="39"/>
    <x v="12"/>
    <x v="39"/>
    <x v="11"/>
    <x v="0"/>
  </r>
  <r>
    <x v="12"/>
    <x v="1"/>
    <x v="5"/>
    <x v="0"/>
    <x v="40"/>
    <x v="12"/>
    <x v="40"/>
    <x v="5"/>
    <x v="4"/>
  </r>
  <r>
    <x v="12"/>
    <x v="2"/>
    <x v="5"/>
    <x v="0"/>
    <x v="41"/>
    <x v="12"/>
    <x v="41"/>
    <x v="34"/>
    <x v="3"/>
  </r>
  <r>
    <x v="12"/>
    <x v="3"/>
    <x v="5"/>
    <x v="0"/>
    <x v="42"/>
    <x v="12"/>
    <x v="42"/>
    <x v="35"/>
    <x v="1"/>
  </r>
  <r>
    <x v="13"/>
    <x v="1"/>
    <x v="0"/>
    <x v="0"/>
    <x v="43"/>
    <x v="13"/>
    <x v="43"/>
    <x v="14"/>
    <x v="4"/>
  </r>
  <r>
    <x v="13"/>
    <x v="2"/>
    <x v="0"/>
    <x v="0"/>
    <x v="44"/>
    <x v="13"/>
    <x v="44"/>
    <x v="36"/>
    <x v="2"/>
  </r>
  <r>
    <x v="13"/>
    <x v="3"/>
    <x v="0"/>
    <x v="0"/>
    <x v="45"/>
    <x v="13"/>
    <x v="45"/>
    <x v="37"/>
    <x v="0"/>
  </r>
  <r>
    <x v="14"/>
    <x v="0"/>
    <x v="0"/>
    <x v="0"/>
    <x v="46"/>
    <x v="14"/>
    <x v="46"/>
    <x v="0"/>
    <x v="2"/>
  </r>
  <r>
    <x v="14"/>
    <x v="2"/>
    <x v="0"/>
    <x v="0"/>
    <x v="47"/>
    <x v="14"/>
    <x v="47"/>
    <x v="20"/>
    <x v="0"/>
  </r>
  <r>
    <x v="14"/>
    <x v="4"/>
    <x v="0"/>
    <x v="0"/>
    <x v="48"/>
    <x v="14"/>
    <x v="48"/>
    <x v="30"/>
    <x v="0"/>
  </r>
  <r>
    <x v="15"/>
    <x v="0"/>
    <x v="6"/>
    <x v="1"/>
    <x v="49"/>
    <x v="15"/>
    <x v="49"/>
    <x v="10"/>
    <x v="1"/>
  </r>
  <r>
    <x v="15"/>
    <x v="1"/>
    <x v="6"/>
    <x v="1"/>
    <x v="50"/>
    <x v="15"/>
    <x v="50"/>
    <x v="38"/>
    <x v="1"/>
  </r>
  <r>
    <x v="15"/>
    <x v="2"/>
    <x v="6"/>
    <x v="1"/>
    <x v="51"/>
    <x v="15"/>
    <x v="51"/>
    <x v="2"/>
    <x v="2"/>
  </r>
  <r>
    <x v="15"/>
    <x v="4"/>
    <x v="6"/>
    <x v="1"/>
    <x v="52"/>
    <x v="15"/>
    <x v="52"/>
    <x v="39"/>
    <x v="2"/>
  </r>
  <r>
    <x v="16"/>
    <x v="1"/>
    <x v="6"/>
    <x v="1"/>
    <x v="53"/>
    <x v="16"/>
    <x v="53"/>
    <x v="13"/>
    <x v="3"/>
  </r>
  <r>
    <x v="16"/>
    <x v="3"/>
    <x v="6"/>
    <x v="1"/>
    <x v="54"/>
    <x v="16"/>
    <x v="54"/>
    <x v="14"/>
    <x v="0"/>
  </r>
  <r>
    <x v="16"/>
    <x v="4"/>
    <x v="6"/>
    <x v="1"/>
    <x v="55"/>
    <x v="16"/>
    <x v="55"/>
    <x v="40"/>
    <x v="4"/>
  </r>
  <r>
    <x v="17"/>
    <x v="0"/>
    <x v="6"/>
    <x v="1"/>
    <x v="56"/>
    <x v="17"/>
    <x v="56"/>
    <x v="41"/>
    <x v="1"/>
  </r>
  <r>
    <x v="17"/>
    <x v="2"/>
    <x v="6"/>
    <x v="1"/>
    <x v="57"/>
    <x v="17"/>
    <x v="57"/>
    <x v="5"/>
    <x v="3"/>
  </r>
  <r>
    <x v="18"/>
    <x v="0"/>
    <x v="6"/>
    <x v="1"/>
    <x v="58"/>
    <x v="18"/>
    <x v="58"/>
    <x v="42"/>
    <x v="0"/>
  </r>
  <r>
    <x v="18"/>
    <x v="3"/>
    <x v="6"/>
    <x v="1"/>
    <x v="59"/>
    <x v="18"/>
    <x v="59"/>
    <x v="43"/>
    <x v="3"/>
  </r>
  <r>
    <x v="18"/>
    <x v="4"/>
    <x v="6"/>
    <x v="1"/>
    <x v="15"/>
    <x v="18"/>
    <x v="60"/>
    <x v="44"/>
    <x v="4"/>
  </r>
  <r>
    <x v="19"/>
    <x v="0"/>
    <x v="6"/>
    <x v="1"/>
    <x v="60"/>
    <x v="19"/>
    <x v="61"/>
    <x v="20"/>
    <x v="3"/>
  </r>
  <r>
    <x v="19"/>
    <x v="2"/>
    <x v="6"/>
    <x v="1"/>
    <x v="61"/>
    <x v="19"/>
    <x v="62"/>
    <x v="24"/>
    <x v="0"/>
  </r>
  <r>
    <x v="19"/>
    <x v="3"/>
    <x v="6"/>
    <x v="1"/>
    <x v="62"/>
    <x v="19"/>
    <x v="63"/>
    <x v="45"/>
    <x v="0"/>
  </r>
  <r>
    <x v="19"/>
    <x v="4"/>
    <x v="6"/>
    <x v="1"/>
    <x v="63"/>
    <x v="19"/>
    <x v="64"/>
    <x v="41"/>
    <x v="0"/>
  </r>
  <r>
    <x v="20"/>
    <x v="0"/>
    <x v="7"/>
    <x v="0"/>
    <x v="64"/>
    <x v="11"/>
    <x v="65"/>
    <x v="46"/>
    <x v="0"/>
  </r>
  <r>
    <x v="20"/>
    <x v="1"/>
    <x v="7"/>
    <x v="0"/>
    <x v="65"/>
    <x v="11"/>
    <x v="66"/>
    <x v="12"/>
    <x v="2"/>
  </r>
  <r>
    <x v="20"/>
    <x v="2"/>
    <x v="7"/>
    <x v="0"/>
    <x v="66"/>
    <x v="11"/>
    <x v="67"/>
    <x v="46"/>
    <x v="1"/>
  </r>
  <r>
    <x v="20"/>
    <x v="3"/>
    <x v="7"/>
    <x v="0"/>
    <x v="67"/>
    <x v="11"/>
    <x v="68"/>
    <x v="47"/>
    <x v="3"/>
  </r>
  <r>
    <x v="20"/>
    <x v="4"/>
    <x v="7"/>
    <x v="0"/>
    <x v="68"/>
    <x v="11"/>
    <x v="69"/>
    <x v="45"/>
    <x v="4"/>
  </r>
  <r>
    <x v="21"/>
    <x v="1"/>
    <x v="7"/>
    <x v="0"/>
    <x v="69"/>
    <x v="20"/>
    <x v="70"/>
    <x v="11"/>
    <x v="3"/>
  </r>
  <r>
    <x v="21"/>
    <x v="4"/>
    <x v="7"/>
    <x v="0"/>
    <x v="70"/>
    <x v="20"/>
    <x v="71"/>
    <x v="47"/>
    <x v="2"/>
  </r>
  <r>
    <x v="22"/>
    <x v="3"/>
    <x v="1"/>
    <x v="0"/>
    <x v="71"/>
    <x v="8"/>
    <x v="72"/>
    <x v="48"/>
    <x v="1"/>
  </r>
  <r>
    <x v="22"/>
    <x v="4"/>
    <x v="1"/>
    <x v="0"/>
    <x v="72"/>
    <x v="8"/>
    <x v="73"/>
    <x v="49"/>
    <x v="1"/>
  </r>
  <r>
    <x v="23"/>
    <x v="0"/>
    <x v="3"/>
    <x v="0"/>
    <x v="73"/>
    <x v="16"/>
    <x v="74"/>
    <x v="9"/>
    <x v="4"/>
  </r>
  <r>
    <x v="23"/>
    <x v="2"/>
    <x v="3"/>
    <x v="0"/>
    <x v="74"/>
    <x v="16"/>
    <x v="75"/>
    <x v="50"/>
    <x v="2"/>
  </r>
  <r>
    <x v="23"/>
    <x v="3"/>
    <x v="3"/>
    <x v="0"/>
    <x v="75"/>
    <x v="16"/>
    <x v="76"/>
    <x v="51"/>
    <x v="2"/>
  </r>
  <r>
    <x v="23"/>
    <x v="4"/>
    <x v="3"/>
    <x v="0"/>
    <x v="76"/>
    <x v="16"/>
    <x v="77"/>
    <x v="52"/>
    <x v="4"/>
  </r>
  <r>
    <x v="24"/>
    <x v="0"/>
    <x v="7"/>
    <x v="0"/>
    <x v="77"/>
    <x v="2"/>
    <x v="78"/>
    <x v="53"/>
    <x v="4"/>
  </r>
  <r>
    <x v="24"/>
    <x v="1"/>
    <x v="7"/>
    <x v="0"/>
    <x v="78"/>
    <x v="2"/>
    <x v="79"/>
    <x v="23"/>
    <x v="1"/>
  </r>
  <r>
    <x v="24"/>
    <x v="2"/>
    <x v="7"/>
    <x v="0"/>
    <x v="79"/>
    <x v="2"/>
    <x v="80"/>
    <x v="46"/>
    <x v="3"/>
  </r>
  <r>
    <x v="24"/>
    <x v="3"/>
    <x v="7"/>
    <x v="0"/>
    <x v="80"/>
    <x v="2"/>
    <x v="81"/>
    <x v="38"/>
    <x v="0"/>
  </r>
  <r>
    <x v="24"/>
    <x v="4"/>
    <x v="7"/>
    <x v="0"/>
    <x v="81"/>
    <x v="2"/>
    <x v="82"/>
    <x v="5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11FE54-6F92-4608-B392-9DC31F177D1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 colHeaderCaption="Therapeutic Area">
  <location ref="G15:M23" firstHeaderRow="1" firstDataRow="3" firstDataCol="1"/>
  <pivotFields count="9">
    <pivotField showAll="0"/>
    <pivotField axis="axisRow" showAll="0">
      <items count="6">
        <item x="4"/>
        <item x="0"/>
        <item x="1"/>
        <item x="3"/>
        <item x="2"/>
        <item t="default"/>
      </items>
    </pivotField>
    <pivotField showAll="0">
      <items count="9">
        <item x="0"/>
        <item x="3"/>
        <item x="1"/>
        <item x="2"/>
        <item x="5"/>
        <item x="7"/>
        <item x="4"/>
        <item x="6"/>
        <item t="default"/>
      </items>
    </pivotField>
    <pivotField axis="axisCol" dataField="1" showAll="0">
      <items count="3">
        <item x="0"/>
        <item x="1"/>
        <item t="default"/>
      </items>
    </pivotField>
    <pivotField numFmtId="3" showAll="0"/>
    <pivotField numFmtId="164" showAll="0"/>
    <pivotField dataField="1" numFmtId="164" showAll="0"/>
    <pivotField numFmtId="3" showAll="0"/>
    <pivotField numFmtId="3" showAll="0"/>
  </pivotFields>
  <rowFields count="1">
    <field x="1"/>
  </rowFields>
  <rowItems count="6">
    <i>
      <x/>
    </i>
    <i>
      <x v="1"/>
    </i>
    <i>
      <x v="2"/>
    </i>
    <i>
      <x v="3"/>
    </i>
    <i>
      <x v="4"/>
    </i>
    <i t="grand">
      <x/>
    </i>
  </rowItems>
  <colFields count="2">
    <field x="3"/>
    <field x="-2"/>
  </colFields>
  <colItems count="6">
    <i>
      <x/>
      <x/>
    </i>
    <i r="1" i="1">
      <x v="1"/>
    </i>
    <i>
      <x v="1"/>
      <x/>
    </i>
    <i r="1" i="1">
      <x v="1"/>
    </i>
    <i t="grand">
      <x/>
    </i>
    <i t="grand" i="1">
      <x/>
    </i>
  </colItems>
  <dataFields count="2">
    <dataField name="Sum of Inventory Value" fld="6" baseField="0" baseItem="0" numFmtId="164"/>
    <dataField name="Count of Cold Chain Required" fld="3" subtotal="count" baseField="0" baseItem="0"/>
  </dataFields>
  <formats count="6">
    <format dxfId="102">
      <pivotArea type="all" dataOnly="0" outline="0" fieldPosition="0"/>
    </format>
    <format dxfId="103">
      <pivotArea outline="0" collapsedLevelsAreSubtotals="1" fieldPosition="0"/>
    </format>
    <format dxfId="104">
      <pivotArea field="1" type="button" dataOnly="0" labelOnly="1" outline="0" axis="axisRow" fieldPosition="0"/>
    </format>
    <format dxfId="105">
      <pivotArea dataOnly="0" labelOnly="1" grandRow="1" outline="0" fieldPosition="0"/>
    </format>
    <format dxfId="106">
      <pivotArea dataOnly="0" labelOnly="1" outline="0" axis="axisValues" fieldPosition="0"/>
    </format>
    <format dxfId="107">
      <pivotArea dataOnly="0" labelOnly="1" offset="A256" fieldPosition="0">
        <references count="1">
          <reference field="3" count="1">
            <x v="0"/>
          </reference>
        </references>
      </pivotArea>
    </format>
  </formats>
  <chartFormats count="4">
    <chartFormat chart="31" format="8" series="1">
      <pivotArea type="data" outline="0" fieldPosition="0">
        <references count="2">
          <reference field="4294967294" count="1" selected="0">
            <x v="0"/>
          </reference>
          <reference field="3" count="1" selected="0">
            <x v="0"/>
          </reference>
        </references>
      </pivotArea>
    </chartFormat>
    <chartFormat chart="31" format="9" series="1">
      <pivotArea type="data" outline="0" fieldPosition="0">
        <references count="2">
          <reference field="4294967294" count="1" selected="0">
            <x v="1"/>
          </reference>
          <reference field="3" count="1" selected="0">
            <x v="0"/>
          </reference>
        </references>
      </pivotArea>
    </chartFormat>
    <chartFormat chart="31" format="10" series="1">
      <pivotArea type="data" outline="0" fieldPosition="0">
        <references count="2">
          <reference field="4294967294" count="1" selected="0">
            <x v="0"/>
          </reference>
          <reference field="3" count="1" selected="0">
            <x v="1"/>
          </reference>
        </references>
      </pivotArea>
    </chartFormat>
    <chartFormat chart="31" format="11" series="1">
      <pivotArea type="data" outline="0" fieldPosition="0">
        <references count="2">
          <reference field="4294967294"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385BA7-2E06-4204-A50C-5F93D12891F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Therapeutic Area">
  <location ref="A14:B23" firstHeaderRow="1" firstDataRow="1" firstDataCol="1"/>
  <pivotFields count="9">
    <pivotField showAll="0"/>
    <pivotField showAll="0">
      <items count="6">
        <item x="4"/>
        <item x="0"/>
        <item x="1"/>
        <item x="3"/>
        <item x="2"/>
        <item t="default"/>
      </items>
    </pivotField>
    <pivotField axis="axisRow" showAll="0">
      <items count="9">
        <item x="0"/>
        <item x="3"/>
        <item x="1"/>
        <item x="2"/>
        <item x="5"/>
        <item x="7"/>
        <item x="4"/>
        <item x="6"/>
        <item t="default"/>
      </items>
    </pivotField>
    <pivotField showAll="0"/>
    <pivotField numFmtId="3" showAll="0"/>
    <pivotField numFmtId="164" showAll="0"/>
    <pivotField dataField="1" numFmtId="164" showAll="0"/>
    <pivotField numFmtId="3" showAll="0"/>
    <pivotField numFmtId="3" showAll="0"/>
  </pivotFields>
  <rowFields count="1">
    <field x="2"/>
  </rowFields>
  <rowItems count="9">
    <i>
      <x/>
    </i>
    <i>
      <x v="1"/>
    </i>
    <i>
      <x v="2"/>
    </i>
    <i>
      <x v="3"/>
    </i>
    <i>
      <x v="4"/>
    </i>
    <i>
      <x v="5"/>
    </i>
    <i>
      <x v="6"/>
    </i>
    <i>
      <x v="7"/>
    </i>
    <i t="grand">
      <x/>
    </i>
  </rowItems>
  <colItems count="1">
    <i/>
  </colItems>
  <dataFields count="1">
    <dataField name="Sum of Inventory Value" fld="6" baseField="0" baseItem="0" numFmtId="164"/>
  </dataFields>
  <formats count="10">
    <format dxfId="108">
      <pivotArea type="all" dataOnly="0" outline="0" fieldPosition="0"/>
    </format>
    <format dxfId="109">
      <pivotArea outline="0" collapsedLevelsAreSubtotals="1" fieldPosition="0"/>
    </format>
    <format dxfId="110">
      <pivotArea field="1" type="button" dataOnly="0" labelOnly="1" outline="0"/>
    </format>
    <format dxfId="111">
      <pivotArea dataOnly="0" labelOnly="1" grandRow="1" outline="0" fieldPosition="0"/>
    </format>
    <format dxfId="112">
      <pivotArea dataOnly="0" labelOnly="1" outline="0" axis="axisValues" fieldPosition="0"/>
    </format>
    <format dxfId="113">
      <pivotArea collapsedLevelsAreSubtotals="1" fieldPosition="0">
        <references count="1">
          <reference field="2" count="1">
            <x v="4"/>
          </reference>
        </references>
      </pivotArea>
    </format>
    <format dxfId="114">
      <pivotArea dataOnly="0" labelOnly="1" fieldPosition="0">
        <references count="1">
          <reference field="2" count="1">
            <x v="4"/>
          </reference>
        </references>
      </pivotArea>
    </format>
    <format dxfId="115">
      <pivotArea field="2" type="button" dataOnly="0" labelOnly="1" outline="0" axis="axisRow" fieldPosition="0"/>
    </format>
    <format dxfId="116">
      <pivotArea collapsedLevelsAreSubtotals="1" fieldPosition="0">
        <references count="1">
          <reference field="2" count="1">
            <x v="4"/>
          </reference>
        </references>
      </pivotArea>
    </format>
    <format dxfId="117">
      <pivotArea field="2" type="button" dataOnly="0" labelOnly="1" outline="0" axis="axisRow"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A5D125-4451-4931-9A46-26C9C7398E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old‑Chain Inventory">
  <location ref="G42:H45" firstHeaderRow="1" firstDataRow="1" firstDataCol="1"/>
  <pivotFields count="9">
    <pivotField showAll="0"/>
    <pivotField showAll="0">
      <items count="6">
        <item x="4"/>
        <item x="0"/>
        <item x="1"/>
        <item x="3"/>
        <item x="2"/>
        <item t="default"/>
      </items>
    </pivotField>
    <pivotField showAll="0">
      <items count="9">
        <item x="0"/>
        <item x="3"/>
        <item x="1"/>
        <item x="2"/>
        <item x="5"/>
        <item x="7"/>
        <item x="4"/>
        <item x="6"/>
        <item t="default"/>
      </items>
    </pivotField>
    <pivotField axis="axisRow" showAll="0">
      <items count="3">
        <item x="0"/>
        <item x="1"/>
        <item t="default"/>
      </items>
    </pivotField>
    <pivotField numFmtId="3" showAll="0"/>
    <pivotField numFmtId="164" showAll="0"/>
    <pivotField dataField="1" numFmtId="164" showAll="0"/>
    <pivotField numFmtId="3" showAll="0"/>
    <pivotField numFmtId="3" showAll="0"/>
  </pivotFields>
  <rowFields count="1">
    <field x="3"/>
  </rowFields>
  <rowItems count="3">
    <i>
      <x/>
    </i>
    <i>
      <x v="1"/>
    </i>
    <i t="grand">
      <x/>
    </i>
  </rowItems>
  <colItems count="1">
    <i/>
  </colItems>
  <dataFields count="1">
    <dataField name="Sum of Inventory Value" fld="6" baseField="0" baseItem="0" numFmtId="164"/>
  </dataFields>
  <formats count="5">
    <format dxfId="80">
      <pivotArea type="all" dataOnly="0" outline="0" fieldPosition="0"/>
    </format>
    <format dxfId="81">
      <pivotArea outline="0" collapsedLevelsAreSubtotals="1" fieldPosition="0"/>
    </format>
    <format dxfId="82">
      <pivotArea field="1" type="button" dataOnly="0" labelOnly="1" outline="0"/>
    </format>
    <format dxfId="83">
      <pivotArea dataOnly="0" labelOnly="1" grandRow="1" outline="0" fieldPosition="0"/>
    </format>
    <format dxfId="84">
      <pivotArea dataOnly="0" labelOnly="1" outline="0" axis="axisValues" fieldPosition="0"/>
    </format>
  </formats>
  <chartFormats count="5">
    <chartFormat chart="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3" count="1" selected="0">
            <x v="0"/>
          </reference>
        </references>
      </pivotArea>
    </chartFormat>
    <chartFormat chart="27"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45FF9-FA83-4DAD-9CB1-967E2A6C5A68}" name="PivotTable9"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colHeaderCaption="Therapeutic Area">
  <location ref="A3:E11" firstHeaderRow="1" firstDataRow="3" firstDataCol="1"/>
  <pivotFields count="9">
    <pivotField showAll="0"/>
    <pivotField axis="axisRow" showAll="0">
      <items count="6">
        <item x="4"/>
        <item x="0"/>
        <item x="1"/>
        <item x="3"/>
        <item x="2"/>
        <item t="default"/>
      </items>
    </pivotField>
    <pivotField showAll="0">
      <items count="9">
        <item x="0"/>
        <item x="3"/>
        <item x="1"/>
        <item x="2"/>
        <item x="5"/>
        <item x="7"/>
        <item x="4"/>
        <item x="6"/>
        <item t="default"/>
      </items>
    </pivotField>
    <pivotField axis="axisCol" dataField="1" showAll="0">
      <items count="3">
        <item h="1" x="0"/>
        <item x="1"/>
        <item t="default"/>
      </items>
    </pivotField>
    <pivotField numFmtId="3" showAll="0"/>
    <pivotField numFmtId="164" showAll="0"/>
    <pivotField dataField="1" numFmtId="164" showAll="0">
      <items count="84">
        <item x="39"/>
        <item x="14"/>
        <item x="43"/>
        <item x="40"/>
        <item x="41"/>
        <item x="38"/>
        <item x="4"/>
        <item x="37"/>
        <item x="45"/>
        <item x="15"/>
        <item x="1"/>
        <item x="44"/>
        <item x="36"/>
        <item x="78"/>
        <item x="42"/>
        <item x="65"/>
        <item x="35"/>
        <item x="13"/>
        <item x="12"/>
        <item x="80"/>
        <item x="69"/>
        <item x="20"/>
        <item x="68"/>
        <item x="66"/>
        <item x="67"/>
        <item x="2"/>
        <item x="22"/>
        <item x="0"/>
        <item x="3"/>
        <item x="58"/>
        <item x="19"/>
        <item x="10"/>
        <item x="81"/>
        <item x="60"/>
        <item x="82"/>
        <item x="79"/>
        <item x="25"/>
        <item x="11"/>
        <item x="9"/>
        <item x="57"/>
        <item x="21"/>
        <item x="23"/>
        <item x="24"/>
        <item x="27"/>
        <item x="6"/>
        <item x="51"/>
        <item x="26"/>
        <item x="56"/>
        <item x="64"/>
        <item x="53"/>
        <item x="16"/>
        <item x="71"/>
        <item x="48"/>
        <item x="59"/>
        <item x="73"/>
        <item x="55"/>
        <item x="70"/>
        <item x="62"/>
        <item x="47"/>
        <item x="74"/>
        <item x="54"/>
        <item x="76"/>
        <item x="61"/>
        <item x="46"/>
        <item x="30"/>
        <item x="72"/>
        <item x="75"/>
        <item x="50"/>
        <item x="52"/>
        <item x="77"/>
        <item x="7"/>
        <item x="5"/>
        <item x="8"/>
        <item x="29"/>
        <item x="33"/>
        <item x="49"/>
        <item x="32"/>
        <item x="18"/>
        <item x="63"/>
        <item x="17"/>
        <item x="28"/>
        <item x="34"/>
        <item x="31"/>
        <item t="default"/>
      </items>
    </pivotField>
    <pivotField numFmtId="3" showAll="0"/>
    <pivotField numFmtId="3" showAll="0"/>
  </pivotFields>
  <rowFields count="1">
    <field x="1"/>
  </rowFields>
  <rowItems count="6">
    <i>
      <x/>
    </i>
    <i>
      <x v="1"/>
    </i>
    <i>
      <x v="2"/>
    </i>
    <i>
      <x v="3"/>
    </i>
    <i>
      <x v="4"/>
    </i>
    <i t="grand">
      <x/>
    </i>
  </rowItems>
  <colFields count="2">
    <field x="-2"/>
    <field x="3"/>
  </colFields>
  <colItems count="4">
    <i>
      <x/>
      <x v="1"/>
    </i>
    <i i="1">
      <x v="1"/>
      <x v="1"/>
    </i>
    <i t="grand">
      <x/>
    </i>
    <i t="grand" i="1">
      <x/>
    </i>
  </colItems>
  <dataFields count="2">
    <dataField name="Sum of Inventory Value" fld="6" baseField="0" baseItem="0" numFmtId="164"/>
    <dataField name="Sum of Cold Chain Required" fld="3" baseField="1" baseItem="0"/>
  </dataFields>
  <formats count="8">
    <format dxfId="85">
      <pivotArea type="all" dataOnly="0" outline="0" fieldPosition="0"/>
    </format>
    <format dxfId="86">
      <pivotArea outline="0" collapsedLevelsAreSubtotals="1" fieldPosition="0"/>
    </format>
    <format dxfId="87">
      <pivotArea field="1" type="button" dataOnly="0" labelOnly="1" outline="0" axis="axisRow" fieldPosition="0"/>
    </format>
    <format dxfId="88">
      <pivotArea dataOnly="0" labelOnly="1" fieldPosition="0">
        <references count="1">
          <reference field="1" count="0"/>
        </references>
      </pivotArea>
    </format>
    <format dxfId="89">
      <pivotArea dataOnly="0" labelOnly="1" grandRow="1" outline="0" fieldPosition="0"/>
    </format>
    <format dxfId="90">
      <pivotArea dataOnly="0" labelOnly="1" outline="0" axis="axisValues" fieldPosition="0"/>
    </format>
    <format dxfId="91">
      <pivotArea type="origin" dataOnly="0" labelOnly="1" outline="0" offset="A2" fieldPosition="0"/>
    </format>
    <format dxfId="92">
      <pivotArea type="origin" dataOnly="0" labelOnly="1" outline="0" offset="A2"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E23C94-E105-4D70-8B82-8276BD60DFD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B32" firstHeaderRow="1" firstDataRow="1" firstDataCol="1"/>
  <pivotFields count="9">
    <pivotField showAll="0"/>
    <pivotField axis="axisRow" showAll="0">
      <items count="6">
        <item x="4"/>
        <item x="0"/>
        <item x="1"/>
        <item x="3"/>
        <item x="2"/>
        <item t="default"/>
      </items>
    </pivotField>
    <pivotField showAll="0">
      <items count="9">
        <item x="0"/>
        <item x="3"/>
        <item x="1"/>
        <item x="2"/>
        <item x="5"/>
        <item x="7"/>
        <item x="4"/>
        <item x="6"/>
        <item t="default"/>
      </items>
    </pivotField>
    <pivotField showAll="0"/>
    <pivotField numFmtId="3" showAll="0"/>
    <pivotField numFmtId="164" showAll="0"/>
    <pivotField dataField="1" numFmtId="164" showAll="0"/>
    <pivotField numFmtId="3" showAll="0"/>
    <pivotField numFmtId="3" showAll="0"/>
  </pivotFields>
  <rowFields count="1">
    <field x="1"/>
  </rowFields>
  <rowItems count="6">
    <i>
      <x/>
    </i>
    <i>
      <x v="1"/>
    </i>
    <i>
      <x v="2"/>
    </i>
    <i>
      <x v="3"/>
    </i>
    <i>
      <x v="4"/>
    </i>
    <i t="grand">
      <x/>
    </i>
  </rowItems>
  <colItems count="1">
    <i/>
  </colItems>
  <dataFields count="1">
    <dataField name="Sum of Inventory Value" fld="6" baseField="0" baseItem="0" numFmtId="164"/>
  </dataFields>
  <formats count="6">
    <format dxfId="93">
      <pivotArea type="all" dataOnly="0" outline="0" fieldPosition="0"/>
    </format>
    <format dxfId="94">
      <pivotArea outline="0" collapsedLevelsAreSubtotals="1" fieldPosition="0"/>
    </format>
    <format dxfId="95">
      <pivotArea field="1" type="button" dataOnly="0" labelOnly="1" outline="0" axis="axisRow" fieldPosition="0"/>
    </format>
    <format dxfId="96">
      <pivotArea dataOnly="0" labelOnly="1" fieldPosition="0">
        <references count="1">
          <reference field="1" count="0"/>
        </references>
      </pivotArea>
    </format>
    <format dxfId="97">
      <pivotArea dataOnly="0" labelOnly="1" grandRow="1" outline="0" fieldPosition="0"/>
    </format>
    <format dxfId="98">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042E77-3DBC-4085-BC87-E072DF51A1C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27:H38" firstHeaderRow="1" firstDataRow="1" firstDataCol="1"/>
  <pivotFields count="9">
    <pivotField axis="axisRow" showAll="0" measureFilter="1" sortType="descending">
      <items count="26">
        <item x="11"/>
        <item x="0"/>
        <item x="1"/>
        <item x="17"/>
        <item x="14"/>
        <item x="21"/>
        <item x="23"/>
        <item x="9"/>
        <item x="5"/>
        <item x="8"/>
        <item x="22"/>
        <item x="20"/>
        <item x="16"/>
        <item x="12"/>
        <item x="18"/>
        <item x="2"/>
        <item x="7"/>
        <item x="13"/>
        <item x="15"/>
        <item x="24"/>
        <item x="6"/>
        <item x="10"/>
        <item x="4"/>
        <item x="19"/>
        <item x="3"/>
        <item t="default"/>
      </items>
      <autoSortScope>
        <pivotArea dataOnly="0" outline="0" fieldPosition="0">
          <references count="1">
            <reference field="4294967294" count="1" selected="0">
              <x v="0"/>
            </reference>
          </references>
        </pivotArea>
      </autoSortScope>
    </pivotField>
    <pivotField showAll="0">
      <items count="6">
        <item x="4"/>
        <item x="0"/>
        <item x="1"/>
        <item x="3"/>
        <item x="2"/>
        <item t="default"/>
      </items>
    </pivotField>
    <pivotField showAll="0">
      <items count="9">
        <item x="0"/>
        <item x="3"/>
        <item x="1"/>
        <item x="2"/>
        <item x="5"/>
        <item x="7"/>
        <item x="4"/>
        <item x="6"/>
        <item t="default"/>
      </items>
    </pivotField>
    <pivotField showAll="0"/>
    <pivotField numFmtId="3" showAll="0"/>
    <pivotField numFmtId="164" showAll="0"/>
    <pivotField dataField="1" numFmtId="164" showAll="0"/>
    <pivotField numFmtId="3" showAll="0"/>
    <pivotField numFmtId="3" showAll="0"/>
  </pivotFields>
  <rowFields count="1">
    <field x="0"/>
  </rowFields>
  <rowItems count="11">
    <i>
      <x v="7"/>
    </i>
    <i>
      <x v="21"/>
    </i>
    <i>
      <x v="22"/>
    </i>
    <i>
      <x v="2"/>
    </i>
    <i>
      <x v="23"/>
    </i>
    <i>
      <x v="18"/>
    </i>
    <i>
      <x v="6"/>
    </i>
    <i>
      <x v="4"/>
    </i>
    <i>
      <x v="12"/>
    </i>
    <i>
      <x v="10"/>
    </i>
    <i t="grand">
      <x/>
    </i>
  </rowItems>
  <colItems count="1">
    <i/>
  </colItems>
  <dataFields count="1">
    <dataField name="Sum of Inventory Value" fld="6" baseField="0" baseItem="0" numFmtId="164"/>
  </dataFields>
  <formats count="3">
    <format dxfId="99">
      <pivotArea type="all" dataOnly="0" outline="0" fieldPosition="0"/>
    </format>
    <format dxfId="100">
      <pivotArea outline="0" collapsedLevelsAreSubtotals="1" fieldPosition="0"/>
    </format>
    <format dxfId="101">
      <pivotArea field="1" type="button" dataOnly="0" labelOnly="1" outline="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D1A4090-BC16-4165-8D3A-FDD6C7AEF66A}" sourceName="Country">
  <pivotTables>
    <pivotTable tabId="5" name="PivotTable9"/>
    <pivotTable tabId="5" name="PivotTable11"/>
    <pivotTable tabId="5" name="PivotTable13"/>
    <pivotTable tabId="5" name="PivotTable8"/>
    <pivotTable tabId="5" name="PivotTable4"/>
  </pivotTables>
  <data>
    <tabular pivotCacheId="434434352">
      <items count="5">
        <i x="4" s="1"/>
        <i x="0" s="1"/>
        <i x="1" s="1"/>
        <i x="3"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rapeutic_Area" xr10:uid="{AC111CFC-6696-4F00-A7B2-5790145F7D64}" sourceName="Therapeutic Area">
  <pivotTables>
    <pivotTable tabId="5" name="PivotTable9"/>
    <pivotTable tabId="5" name="PivotTable10"/>
    <pivotTable tabId="5" name="PivotTable11"/>
    <pivotTable tabId="5" name="PivotTable13"/>
    <pivotTable tabId="5" name="PivotTable8"/>
    <pivotTable tabId="5" name="PivotTable4"/>
  </pivotTables>
  <data>
    <tabular pivotCacheId="434434352">
      <items count="8">
        <i x="0" s="1"/>
        <i x="3" s="1"/>
        <i x="1" s="1"/>
        <i x="2" s="1"/>
        <i x="5" s="1"/>
        <i x="7" s="1"/>
        <i x="4"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d_Chain_Required" xr10:uid="{6C8A7832-5613-439E-B2AF-32855CB50489}" sourceName="Cold Chain Required">
  <pivotTables>
    <pivotTable tabId="5" name="PivotTable4"/>
  </pivotTables>
  <data>
    <tabular pivotCacheId="43443435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CC9F666-AEFF-4234-A210-F404468D8783}" cache="Slicer_Country" caption="Country" columnCount="2" style="MjrSlicer 4 2 2 2" rowHeight="241300"/>
  <slicer name="Therapeutic Area" xr10:uid="{C6410F5F-6DDB-45EA-92F3-BD17DDA3535E}" cache="Slicer_Therapeutic_Area" caption="Therapeutic Area" columnCount="2" style="MjrSlicer 4 2 2 2" rowHeight="241300"/>
  <slicer name="Cold Chain Required 1" xr10:uid="{D8C60152-1207-4E06-96EE-EA5EC91DC157}" cache="Slicer_Cold_Chain_Required" caption="Cold Chain Required" columnCount="2" style="MjrSlicer 4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52364F-D8DC-4F75-B80E-4AA232F8EEDD}" name="Table1" displayName="Table1" ref="A1:I84" totalsRowShown="0" headerRowDxfId="135" headerRowBorderDxfId="134" tableBorderDxfId="133" totalsRowBorderDxfId="132">
  <tableColumns count="9">
    <tableColumn id="1" xr3:uid="{59C8942C-1DDA-45A3-A465-08B3E20062A7}" name="Product Name" dataDxfId="131"/>
    <tableColumn id="2" xr3:uid="{5CB9C521-5E4A-4359-B1AC-94031B5A3B8D}" name="Country" dataDxfId="130"/>
    <tableColumn id="3" xr3:uid="{6A2A35C8-08A4-428F-A5E6-181D354F6006}" name="Therapeutic Area" dataDxfId="129"/>
    <tableColumn id="4" xr3:uid="{3A4E58A6-0FBC-4554-9DA9-1D74A022644F}" name="Cold Chain Required" dataDxfId="128"/>
    <tableColumn id="5" xr3:uid="{A4A52B74-31AA-49EA-BB08-1528B707581C}" name="Stock on Hand" dataDxfId="127"/>
    <tableColumn id="6" xr3:uid="{15EA0F2A-D415-4B46-B46B-037A631F9C91}" name="Unit Cost" dataDxfId="126"/>
    <tableColumn id="7" xr3:uid="{F10BA51A-ACEB-4CB3-AB9F-13BE3F4F2C43}" name="Inventory Value" dataDxfId="125"/>
    <tableColumn id="8" xr3:uid="{BBE4DDD2-2B52-4EE3-A54F-A1FDB26659B2}" name="Days of Stock" dataDxfId="124"/>
    <tableColumn id="9" xr3:uid="{C1787A30-0DBF-4AC2-8C32-CF97E19551F2}" name="Facility Count" dataDxfId="12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2A7612-A64F-46B3-A8FC-B1A3381F237F}">
  <we:reference id="wa200009404" version="1.0.0.8" store="en-US" storeType="OMEX"/>
  <we:alternateReferences>
    <we:reference id="wa200009404" version="1.0.0.8" store="wa200009404" storeType="OMEX"/>
  </we:alternateReferences>
  <we:properties>
    <we:property name="claude.fileId" value="&quot;b58f53bc-3bf0-4492-b16d-59eec5d9424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8013-14B8-44F8-B634-C58D2D9EC3E5}">
  <dimension ref="A2:M45"/>
  <sheetViews>
    <sheetView topLeftCell="A25" workbookViewId="0">
      <selection activeCell="G42" sqref="G42:H45"/>
    </sheetView>
  </sheetViews>
  <sheetFormatPr defaultRowHeight="14.5" x14ac:dyDescent="0.35"/>
  <cols>
    <col min="1" max="1" width="10.7265625" bestFit="1" customWidth="1"/>
    <col min="2" max="2" width="20.54296875" bestFit="1" customWidth="1"/>
    <col min="3" max="3" width="24.26953125" hidden="1" customWidth="1"/>
    <col min="4" max="4" width="25.453125" hidden="1" customWidth="1"/>
    <col min="5" max="5" width="2.54296875" hidden="1" customWidth="1"/>
    <col min="6" max="6" width="4.81640625" customWidth="1"/>
    <col min="7" max="7" width="21" bestFit="1" customWidth="1"/>
    <col min="8" max="8" width="20.54296875" bestFit="1" customWidth="1"/>
    <col min="9" max="9" width="10.90625" hidden="1" customWidth="1"/>
    <col min="10" max="10" width="20.54296875" bestFit="1" customWidth="1"/>
    <col min="11" max="11" width="25.81640625" hidden="1" customWidth="1"/>
    <col min="12" max="12" width="25.453125" hidden="1" customWidth="1"/>
    <col min="13" max="13" width="30.6328125" hidden="1" customWidth="1"/>
    <col min="15" max="16" width="15.26953125" bestFit="1" customWidth="1"/>
    <col min="17" max="18" width="10.7265625" bestFit="1" customWidth="1"/>
  </cols>
  <sheetData>
    <row r="2" spans="1:13" x14ac:dyDescent="0.35">
      <c r="A2" s="20" t="s">
        <v>59</v>
      </c>
      <c r="B2" s="20"/>
      <c r="G2" s="26" t="s">
        <v>46</v>
      </c>
    </row>
    <row r="3" spans="1:13" x14ac:dyDescent="0.35">
      <c r="A3" s="5"/>
      <c r="B3" s="15" t="s">
        <v>42</v>
      </c>
      <c r="C3" s="5"/>
      <c r="D3" s="5"/>
      <c r="E3" s="5"/>
      <c r="G3" s="18">
        <f>GETPIVOTDATA("Inventory Value",$A$26)</f>
        <v>273200.38</v>
      </c>
    </row>
    <row r="4" spans="1:13" x14ac:dyDescent="0.35">
      <c r="A4" s="29"/>
      <c r="B4" s="5" t="s">
        <v>51</v>
      </c>
      <c r="C4" s="5" t="s">
        <v>55</v>
      </c>
      <c r="D4" s="5" t="s">
        <v>56</v>
      </c>
      <c r="E4" s="5" t="s">
        <v>57</v>
      </c>
    </row>
    <row r="5" spans="1:13" x14ac:dyDescent="0.35">
      <c r="A5" s="15" t="s">
        <v>0</v>
      </c>
      <c r="B5" s="5" t="s">
        <v>40</v>
      </c>
      <c r="C5" s="5" t="s">
        <v>40</v>
      </c>
      <c r="D5" s="5"/>
      <c r="E5" s="5"/>
      <c r="G5" s="26" t="s">
        <v>58</v>
      </c>
    </row>
    <row r="6" spans="1:13" x14ac:dyDescent="0.35">
      <c r="A6" s="16" t="s">
        <v>30</v>
      </c>
      <c r="B6" s="10">
        <v>14712.05</v>
      </c>
      <c r="C6" s="5">
        <v>0</v>
      </c>
      <c r="D6" s="10">
        <v>14712.05</v>
      </c>
      <c r="E6" s="5">
        <v>0</v>
      </c>
      <c r="G6" s="19">
        <f>GETPIVOTDATA("Sum of Inventory Value",$A$3,"Cold Chain Required","Yes")/GETPIVOTDATA("Inventory Value",$A$26)</f>
        <v>0.44927005592012725</v>
      </c>
    </row>
    <row r="7" spans="1:13" x14ac:dyDescent="0.35">
      <c r="A7" s="16" t="s">
        <v>26</v>
      </c>
      <c r="B7" s="10">
        <v>33564.300000000003</v>
      </c>
      <c r="C7" s="5">
        <v>0</v>
      </c>
      <c r="D7" s="10">
        <v>33564.300000000003</v>
      </c>
      <c r="E7" s="5">
        <v>0</v>
      </c>
    </row>
    <row r="8" spans="1:13" x14ac:dyDescent="0.35">
      <c r="A8" s="16" t="s">
        <v>27</v>
      </c>
      <c r="B8" s="10">
        <v>15850</v>
      </c>
      <c r="C8" s="5">
        <v>0</v>
      </c>
      <c r="D8" s="10">
        <v>15850</v>
      </c>
      <c r="E8" s="5">
        <v>0</v>
      </c>
      <c r="G8" s="26" t="s">
        <v>60</v>
      </c>
    </row>
    <row r="9" spans="1:13" x14ac:dyDescent="0.35">
      <c r="A9" s="16" t="s">
        <v>29</v>
      </c>
      <c r="B9" s="10">
        <v>46826.6</v>
      </c>
      <c r="C9" s="5">
        <v>0</v>
      </c>
      <c r="D9" s="10">
        <v>46826.6</v>
      </c>
      <c r="E9" s="5">
        <v>0</v>
      </c>
      <c r="G9" s="18">
        <f>GETPIVOTDATA("Inventory Value",$A$26,"Country","Tanzania")</f>
        <v>75358.95</v>
      </c>
    </row>
    <row r="10" spans="1:13" x14ac:dyDescent="0.35">
      <c r="A10" s="16" t="s">
        <v>28</v>
      </c>
      <c r="B10" s="10">
        <v>11787.8</v>
      </c>
      <c r="C10" s="5">
        <v>0</v>
      </c>
      <c r="D10" s="10">
        <v>11787.8</v>
      </c>
      <c r="E10" s="5">
        <v>0</v>
      </c>
    </row>
    <row r="11" spans="1:13" x14ac:dyDescent="0.35">
      <c r="A11" s="16" t="s">
        <v>50</v>
      </c>
      <c r="B11" s="10">
        <v>122740.75000000001</v>
      </c>
      <c r="C11" s="5">
        <v>0</v>
      </c>
      <c r="D11" s="10">
        <v>122740.75000000001</v>
      </c>
      <c r="E11" s="5">
        <v>0</v>
      </c>
      <c r="G11" s="26" t="s">
        <v>62</v>
      </c>
    </row>
    <row r="12" spans="1:13" x14ac:dyDescent="0.35">
      <c r="G12" s="22">
        <f>GETPIVOTDATA("Inventory Value",$A$14,"Therapeutic Area","NCD")</f>
        <v>90346.54</v>
      </c>
    </row>
    <row r="13" spans="1:13" x14ac:dyDescent="0.35">
      <c r="A13" s="21" t="s">
        <v>61</v>
      </c>
      <c r="B13" s="21"/>
    </row>
    <row r="14" spans="1:13" x14ac:dyDescent="0.35">
      <c r="A14" s="29" t="s">
        <v>42</v>
      </c>
      <c r="B14" s="5" t="s">
        <v>51</v>
      </c>
      <c r="G14" s="24" t="s">
        <v>65</v>
      </c>
      <c r="H14" s="24"/>
      <c r="I14" s="24"/>
      <c r="J14" s="24"/>
    </row>
    <row r="15" spans="1:13" x14ac:dyDescent="0.35">
      <c r="A15" s="16" t="s">
        <v>31</v>
      </c>
      <c r="B15" s="10">
        <v>13420.77</v>
      </c>
      <c r="G15" s="5"/>
      <c r="H15" s="15" t="s">
        <v>42</v>
      </c>
      <c r="I15" s="5"/>
      <c r="J15" s="5"/>
      <c r="K15" s="5"/>
      <c r="L15" s="5"/>
      <c r="M15" s="5"/>
    </row>
    <row r="16" spans="1:13" x14ac:dyDescent="0.35">
      <c r="A16" s="16" t="s">
        <v>34</v>
      </c>
      <c r="B16" s="10">
        <v>46183.899999999994</v>
      </c>
      <c r="G16" s="5"/>
      <c r="H16" s="25" t="s">
        <v>39</v>
      </c>
      <c r="I16" s="5"/>
      <c r="J16" s="5" t="s">
        <v>40</v>
      </c>
      <c r="K16" s="5"/>
      <c r="L16" s="5" t="s">
        <v>56</v>
      </c>
      <c r="M16" s="5" t="s">
        <v>53</v>
      </c>
    </row>
    <row r="17" spans="1:13" x14ac:dyDescent="0.35">
      <c r="A17" s="16" t="s">
        <v>32</v>
      </c>
      <c r="B17" s="10">
        <v>34387.850000000006</v>
      </c>
      <c r="G17" s="15" t="s">
        <v>63</v>
      </c>
      <c r="H17" s="5" t="s">
        <v>51</v>
      </c>
      <c r="I17" s="5" t="s">
        <v>52</v>
      </c>
      <c r="J17" s="5" t="s">
        <v>51</v>
      </c>
      <c r="K17" s="5" t="s">
        <v>52</v>
      </c>
      <c r="L17" s="5"/>
      <c r="M17" s="5"/>
    </row>
    <row r="18" spans="1:13" x14ac:dyDescent="0.35">
      <c r="A18" s="16" t="s">
        <v>33</v>
      </c>
      <c r="B18" s="10">
        <v>9430.76</v>
      </c>
      <c r="G18" s="16" t="s">
        <v>30</v>
      </c>
      <c r="H18" s="10">
        <v>49689.85</v>
      </c>
      <c r="I18" s="5">
        <v>15</v>
      </c>
      <c r="J18" s="10">
        <v>14712.05</v>
      </c>
      <c r="K18" s="5">
        <v>5</v>
      </c>
      <c r="L18" s="10">
        <v>64401.9</v>
      </c>
      <c r="M18" s="5">
        <v>20</v>
      </c>
    </row>
    <row r="19" spans="1:13" x14ac:dyDescent="0.35">
      <c r="A19" s="23" t="s">
        <v>36</v>
      </c>
      <c r="B19" s="28">
        <v>90346.54</v>
      </c>
      <c r="G19" s="16" t="s">
        <v>26</v>
      </c>
      <c r="H19" s="10">
        <v>21976.010000000002</v>
      </c>
      <c r="I19" s="5">
        <v>11</v>
      </c>
      <c r="J19" s="10">
        <v>33564.299999999996</v>
      </c>
      <c r="K19" s="5">
        <v>6</v>
      </c>
      <c r="L19" s="10">
        <v>55540.31</v>
      </c>
      <c r="M19" s="5">
        <v>17</v>
      </c>
    </row>
    <row r="20" spans="1:13" x14ac:dyDescent="0.35">
      <c r="A20" s="16" t="s">
        <v>38</v>
      </c>
      <c r="B20" s="10">
        <v>11253.51</v>
      </c>
      <c r="G20" s="16" t="s">
        <v>27</v>
      </c>
      <c r="H20" s="10">
        <v>17331.7</v>
      </c>
      <c r="I20" s="5">
        <v>10</v>
      </c>
      <c r="J20" s="10">
        <v>15850</v>
      </c>
      <c r="K20" s="5">
        <v>3</v>
      </c>
      <c r="L20" s="10">
        <v>33181.699999999997</v>
      </c>
      <c r="M20" s="5">
        <v>13</v>
      </c>
    </row>
    <row r="21" spans="1:13" x14ac:dyDescent="0.35">
      <c r="A21" s="16" t="s">
        <v>35</v>
      </c>
      <c r="B21" s="10">
        <v>5000.1000000000004</v>
      </c>
      <c r="G21" s="16" t="s">
        <v>29</v>
      </c>
      <c r="H21" s="10">
        <v>28532.350000000006</v>
      </c>
      <c r="I21" s="5">
        <v>12</v>
      </c>
      <c r="J21" s="10">
        <v>46826.6</v>
      </c>
      <c r="K21" s="5">
        <v>5</v>
      </c>
      <c r="L21" s="10">
        <v>75358.950000000012</v>
      </c>
      <c r="M21" s="5">
        <v>17</v>
      </c>
    </row>
    <row r="22" spans="1:13" x14ac:dyDescent="0.35">
      <c r="A22" s="16" t="s">
        <v>37</v>
      </c>
      <c r="B22" s="10">
        <v>63176.95</v>
      </c>
      <c r="G22" s="16" t="s">
        <v>28</v>
      </c>
      <c r="H22" s="10">
        <v>32929.719999999994</v>
      </c>
      <c r="I22" s="5">
        <v>12</v>
      </c>
      <c r="J22" s="10">
        <v>11787.8</v>
      </c>
      <c r="K22" s="5">
        <v>4</v>
      </c>
      <c r="L22" s="10">
        <v>44717.51999999999</v>
      </c>
      <c r="M22" s="5">
        <v>16</v>
      </c>
    </row>
    <row r="23" spans="1:13" x14ac:dyDescent="0.35">
      <c r="A23" s="16" t="s">
        <v>50</v>
      </c>
      <c r="B23" s="10">
        <v>273200.38</v>
      </c>
      <c r="G23" s="16" t="s">
        <v>50</v>
      </c>
      <c r="H23" s="10">
        <v>150459.63</v>
      </c>
      <c r="I23" s="5">
        <v>60</v>
      </c>
      <c r="J23" s="10">
        <v>122740.74999999999</v>
      </c>
      <c r="K23" s="5">
        <v>23</v>
      </c>
      <c r="L23" s="10">
        <v>273200.38</v>
      </c>
      <c r="M23" s="5">
        <v>83</v>
      </c>
    </row>
    <row r="25" spans="1:13" x14ac:dyDescent="0.35">
      <c r="A25" s="27" t="s">
        <v>54</v>
      </c>
      <c r="B25" s="14"/>
    </row>
    <row r="26" spans="1:13" x14ac:dyDescent="0.35">
      <c r="A26" s="15" t="s">
        <v>49</v>
      </c>
      <c r="B26" s="5" t="s">
        <v>51</v>
      </c>
      <c r="G26" s="27" t="s">
        <v>64</v>
      </c>
      <c r="H26" s="14"/>
    </row>
    <row r="27" spans="1:13" x14ac:dyDescent="0.35">
      <c r="A27" s="16" t="s">
        <v>30</v>
      </c>
      <c r="B27" s="10">
        <v>64401.9</v>
      </c>
      <c r="G27" s="15" t="s">
        <v>49</v>
      </c>
      <c r="H27" s="5" t="s">
        <v>51</v>
      </c>
    </row>
    <row r="28" spans="1:13" x14ac:dyDescent="0.35">
      <c r="A28" s="16" t="s">
        <v>26</v>
      </c>
      <c r="B28" s="10">
        <v>55540.310000000005</v>
      </c>
      <c r="G28" s="16" t="s">
        <v>10</v>
      </c>
      <c r="H28" s="10">
        <v>54789</v>
      </c>
    </row>
    <row r="29" spans="1:13" x14ac:dyDescent="0.35">
      <c r="A29" s="16" t="s">
        <v>27</v>
      </c>
      <c r="B29" s="10">
        <v>33181.699999999997</v>
      </c>
      <c r="G29" s="16" t="s">
        <v>11</v>
      </c>
      <c r="H29" s="10">
        <v>34264.800000000003</v>
      </c>
    </row>
    <row r="30" spans="1:13" x14ac:dyDescent="0.35">
      <c r="A30" s="16" t="s">
        <v>29</v>
      </c>
      <c r="B30" s="10">
        <v>75358.95</v>
      </c>
      <c r="G30" s="16" t="s">
        <v>5</v>
      </c>
      <c r="H30" s="10">
        <v>26942.449999999997</v>
      </c>
    </row>
    <row r="31" spans="1:13" x14ac:dyDescent="0.35">
      <c r="A31" s="16" t="s">
        <v>28</v>
      </c>
      <c r="B31" s="10">
        <v>44717.52</v>
      </c>
      <c r="G31" s="16" t="s">
        <v>2</v>
      </c>
      <c r="H31" s="10">
        <v>26350.15</v>
      </c>
    </row>
    <row r="32" spans="1:13" x14ac:dyDescent="0.35">
      <c r="A32" s="16" t="s">
        <v>50</v>
      </c>
      <c r="B32" s="10">
        <v>273200.38</v>
      </c>
      <c r="G32" s="16" t="s">
        <v>20</v>
      </c>
      <c r="H32" s="10">
        <v>22968.399999999998</v>
      </c>
    </row>
    <row r="33" spans="7:8" x14ac:dyDescent="0.35">
      <c r="G33" s="16" t="s">
        <v>16</v>
      </c>
      <c r="H33" s="10">
        <v>22867.9</v>
      </c>
    </row>
    <row r="34" spans="7:8" x14ac:dyDescent="0.35">
      <c r="G34" s="16" t="s">
        <v>24</v>
      </c>
      <c r="H34" s="10">
        <v>19241.45</v>
      </c>
    </row>
    <row r="35" spans="7:8" x14ac:dyDescent="0.35">
      <c r="G35" s="16" t="s">
        <v>15</v>
      </c>
      <c r="H35" s="10">
        <v>10834.85</v>
      </c>
    </row>
    <row r="36" spans="7:8" x14ac:dyDescent="0.35">
      <c r="G36" s="16" t="s">
        <v>17</v>
      </c>
      <c r="H36" s="10">
        <v>8932.65</v>
      </c>
    </row>
    <row r="37" spans="7:8" x14ac:dyDescent="0.35">
      <c r="G37" s="16" t="s">
        <v>23</v>
      </c>
      <c r="H37" s="10">
        <v>8037.7000000000007</v>
      </c>
    </row>
    <row r="38" spans="7:8" x14ac:dyDescent="0.35">
      <c r="G38" s="16" t="s">
        <v>50</v>
      </c>
      <c r="H38" s="10">
        <v>235229.35</v>
      </c>
    </row>
    <row r="41" spans="7:8" x14ac:dyDescent="0.35">
      <c r="G41" s="17"/>
    </row>
    <row r="42" spans="7:8" x14ac:dyDescent="0.35">
      <c r="G42" s="15" t="s">
        <v>66</v>
      </c>
      <c r="H42" s="5" t="s">
        <v>51</v>
      </c>
    </row>
    <row r="43" spans="7:8" x14ac:dyDescent="0.35">
      <c r="G43" s="16" t="s">
        <v>39</v>
      </c>
      <c r="H43" s="10">
        <v>150459.62999999998</v>
      </c>
    </row>
    <row r="44" spans="7:8" x14ac:dyDescent="0.35">
      <c r="G44" s="16" t="s">
        <v>40</v>
      </c>
      <c r="H44" s="10">
        <v>122740.75</v>
      </c>
    </row>
    <row r="45" spans="7:8" x14ac:dyDescent="0.35">
      <c r="G45" s="16" t="s">
        <v>50</v>
      </c>
      <c r="H45" s="10">
        <v>273200.38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4"/>
  <sheetViews>
    <sheetView topLeftCell="A4" workbookViewId="0">
      <selection activeCell="J4" sqref="J1:S1048576"/>
    </sheetView>
  </sheetViews>
  <sheetFormatPr defaultRowHeight="14.5" x14ac:dyDescent="0.35"/>
  <cols>
    <col min="1" max="1" width="30.7265625" bestFit="1" customWidth="1"/>
    <col min="2" max="2" width="8.26953125" bestFit="1" customWidth="1"/>
    <col min="3" max="3" width="19.81640625" bestFit="1" customWidth="1"/>
    <col min="4" max="4" width="17.90625" bestFit="1" customWidth="1"/>
    <col min="5" max="5" width="13" bestFit="1" customWidth="1"/>
    <col min="6" max="6" width="8.54296875" bestFit="1" customWidth="1"/>
    <col min="7" max="7" width="14.1796875" bestFit="1" customWidth="1"/>
    <col min="8" max="8" width="12" bestFit="1" customWidth="1"/>
    <col min="9" max="9" width="12.08984375" bestFit="1" customWidth="1"/>
  </cols>
  <sheetData>
    <row r="1" spans="1:9" x14ac:dyDescent="0.35">
      <c r="A1" s="2" t="s">
        <v>41</v>
      </c>
      <c r="B1" s="1" t="s">
        <v>0</v>
      </c>
      <c r="C1" s="1" t="s">
        <v>42</v>
      </c>
      <c r="D1" s="1" t="s">
        <v>43</v>
      </c>
      <c r="E1" s="1" t="s">
        <v>44</v>
      </c>
      <c r="F1" s="1" t="s">
        <v>45</v>
      </c>
      <c r="G1" s="1" t="s">
        <v>46</v>
      </c>
      <c r="H1" s="1" t="s">
        <v>47</v>
      </c>
      <c r="I1" s="3" t="s">
        <v>48</v>
      </c>
    </row>
    <row r="2" spans="1:9" x14ac:dyDescent="0.35">
      <c r="A2" s="4" t="s">
        <v>1</v>
      </c>
      <c r="B2" s="5" t="s">
        <v>26</v>
      </c>
      <c r="C2" s="5" t="s">
        <v>31</v>
      </c>
      <c r="D2" s="5" t="s">
        <v>39</v>
      </c>
      <c r="E2" s="8">
        <v>8293</v>
      </c>
      <c r="F2" s="10">
        <v>0.08</v>
      </c>
      <c r="G2" s="10">
        <f>Table1[[#This Row],[Stock on Hand]]*Table1[[#This Row],[Unit Cost]]</f>
        <v>663.44</v>
      </c>
      <c r="H2" s="8">
        <v>89</v>
      </c>
      <c r="I2" s="12">
        <v>1</v>
      </c>
    </row>
    <row r="3" spans="1:9" x14ac:dyDescent="0.35">
      <c r="A3" s="4" t="s">
        <v>1</v>
      </c>
      <c r="B3" s="5" t="s">
        <v>27</v>
      </c>
      <c r="C3" s="5" t="s">
        <v>31</v>
      </c>
      <c r="D3" s="5" t="s">
        <v>39</v>
      </c>
      <c r="E3" s="8">
        <v>2259</v>
      </c>
      <c r="F3" s="10">
        <v>0.08</v>
      </c>
      <c r="G3" s="10">
        <f>Table1[[#This Row],[Stock on Hand]]*Table1[[#This Row],[Unit Cost]]</f>
        <v>180.72</v>
      </c>
      <c r="H3" s="8">
        <v>82</v>
      </c>
      <c r="I3" s="12">
        <v>3</v>
      </c>
    </row>
    <row r="4" spans="1:9" x14ac:dyDescent="0.35">
      <c r="A4" s="4" t="s">
        <v>1</v>
      </c>
      <c r="B4" s="5" t="s">
        <v>28</v>
      </c>
      <c r="C4" s="5" t="s">
        <v>31</v>
      </c>
      <c r="D4" s="5" t="s">
        <v>39</v>
      </c>
      <c r="E4" s="8">
        <v>5767</v>
      </c>
      <c r="F4" s="10">
        <v>0.08</v>
      </c>
      <c r="G4" s="10">
        <f>Table1[[#This Row],[Stock on Hand]]*Table1[[#This Row],[Unit Cost]]</f>
        <v>461.36</v>
      </c>
      <c r="H4" s="8">
        <v>103</v>
      </c>
      <c r="I4" s="12">
        <v>1</v>
      </c>
    </row>
    <row r="5" spans="1:9" x14ac:dyDescent="0.35">
      <c r="A5" s="4" t="s">
        <v>1</v>
      </c>
      <c r="B5" s="5" t="s">
        <v>29</v>
      </c>
      <c r="C5" s="5" t="s">
        <v>31</v>
      </c>
      <c r="D5" s="5" t="s">
        <v>39</v>
      </c>
      <c r="E5" s="8">
        <v>8482</v>
      </c>
      <c r="F5" s="10">
        <v>0.08</v>
      </c>
      <c r="G5" s="10">
        <f>Table1[[#This Row],[Stock on Hand]]*Table1[[#This Row],[Unit Cost]]</f>
        <v>678.56000000000006</v>
      </c>
      <c r="H5" s="8">
        <v>71</v>
      </c>
      <c r="I5" s="12">
        <v>1</v>
      </c>
    </row>
    <row r="6" spans="1:9" x14ac:dyDescent="0.35">
      <c r="A6" s="4" t="s">
        <v>1</v>
      </c>
      <c r="B6" s="5" t="s">
        <v>30</v>
      </c>
      <c r="C6" s="5" t="s">
        <v>31</v>
      </c>
      <c r="D6" s="5" t="s">
        <v>39</v>
      </c>
      <c r="E6" s="8">
        <v>1723</v>
      </c>
      <c r="F6" s="10">
        <v>0.08</v>
      </c>
      <c r="G6" s="10">
        <f>Table1[[#This Row],[Stock on Hand]]*Table1[[#This Row],[Unit Cost]]</f>
        <v>137.84</v>
      </c>
      <c r="H6" s="8">
        <v>52</v>
      </c>
      <c r="I6" s="12">
        <v>4</v>
      </c>
    </row>
    <row r="7" spans="1:9" x14ac:dyDescent="0.35">
      <c r="A7" s="4" t="s">
        <v>2</v>
      </c>
      <c r="B7" s="5" t="s">
        <v>26</v>
      </c>
      <c r="C7" s="5" t="s">
        <v>32</v>
      </c>
      <c r="D7" s="5" t="s">
        <v>39</v>
      </c>
      <c r="E7" s="8">
        <v>7817</v>
      </c>
      <c r="F7" s="10">
        <v>0.95</v>
      </c>
      <c r="G7" s="10">
        <f>Table1[[#This Row],[Stock on Hand]]*Table1[[#This Row],[Unit Cost]]</f>
        <v>7426.15</v>
      </c>
      <c r="H7" s="8">
        <v>74</v>
      </c>
      <c r="I7" s="12">
        <v>1</v>
      </c>
    </row>
    <row r="8" spans="1:9" x14ac:dyDescent="0.35">
      <c r="A8" s="4" t="s">
        <v>2</v>
      </c>
      <c r="B8" s="5" t="s">
        <v>27</v>
      </c>
      <c r="C8" s="5" t="s">
        <v>32</v>
      </c>
      <c r="D8" s="5" t="s">
        <v>39</v>
      </c>
      <c r="E8" s="8">
        <v>1924</v>
      </c>
      <c r="F8" s="10">
        <v>0.95</v>
      </c>
      <c r="G8" s="10">
        <f>Table1[[#This Row],[Stock on Hand]]*Table1[[#This Row],[Unit Cost]]</f>
        <v>1827.8</v>
      </c>
      <c r="H8" s="8">
        <v>55</v>
      </c>
      <c r="I8" s="12">
        <v>2</v>
      </c>
    </row>
    <row r="9" spans="1:9" x14ac:dyDescent="0.35">
      <c r="A9" s="4" t="s">
        <v>2</v>
      </c>
      <c r="B9" s="5" t="s">
        <v>28</v>
      </c>
      <c r="C9" s="5" t="s">
        <v>32</v>
      </c>
      <c r="D9" s="5" t="s">
        <v>39</v>
      </c>
      <c r="E9" s="8">
        <v>7661</v>
      </c>
      <c r="F9" s="10">
        <v>0.95</v>
      </c>
      <c r="G9" s="10">
        <f>Table1[[#This Row],[Stock on Hand]]*Table1[[#This Row],[Unit Cost]]</f>
        <v>7277.95</v>
      </c>
      <c r="H9" s="8">
        <v>55</v>
      </c>
      <c r="I9" s="12">
        <v>2</v>
      </c>
    </row>
    <row r="10" spans="1:9" x14ac:dyDescent="0.35">
      <c r="A10" s="4" t="s">
        <v>2</v>
      </c>
      <c r="B10" s="5" t="s">
        <v>29</v>
      </c>
      <c r="C10" s="5" t="s">
        <v>32</v>
      </c>
      <c r="D10" s="5" t="s">
        <v>39</v>
      </c>
      <c r="E10" s="8">
        <v>8768</v>
      </c>
      <c r="F10" s="10">
        <v>0.95</v>
      </c>
      <c r="G10" s="10">
        <f>Table1[[#This Row],[Stock on Hand]]*Table1[[#This Row],[Unit Cost]]</f>
        <v>8329.6</v>
      </c>
      <c r="H10" s="8">
        <v>65</v>
      </c>
      <c r="I10" s="12">
        <v>3</v>
      </c>
    </row>
    <row r="11" spans="1:9" x14ac:dyDescent="0.35">
      <c r="A11" s="4" t="s">
        <v>2</v>
      </c>
      <c r="B11" s="5" t="s">
        <v>30</v>
      </c>
      <c r="C11" s="5" t="s">
        <v>32</v>
      </c>
      <c r="D11" s="5" t="s">
        <v>39</v>
      </c>
      <c r="E11" s="8">
        <v>1567</v>
      </c>
      <c r="F11" s="10">
        <v>0.95</v>
      </c>
      <c r="G11" s="10">
        <f>Table1[[#This Row],[Stock on Hand]]*Table1[[#This Row],[Unit Cost]]</f>
        <v>1488.6499999999999</v>
      </c>
      <c r="H11" s="8">
        <v>30</v>
      </c>
      <c r="I11" s="12">
        <v>1</v>
      </c>
    </row>
    <row r="12" spans="1:9" x14ac:dyDescent="0.35">
      <c r="A12" s="4" t="s">
        <v>3</v>
      </c>
      <c r="B12" s="5" t="s">
        <v>28</v>
      </c>
      <c r="C12" s="5" t="s">
        <v>33</v>
      </c>
      <c r="D12" s="5" t="s">
        <v>39</v>
      </c>
      <c r="E12" s="8">
        <v>8047</v>
      </c>
      <c r="F12" s="10">
        <v>0.12</v>
      </c>
      <c r="G12" s="10">
        <f>Table1[[#This Row],[Stock on Hand]]*Table1[[#This Row],[Unit Cost]]</f>
        <v>965.64</v>
      </c>
      <c r="H12" s="8">
        <v>40</v>
      </c>
      <c r="I12" s="12">
        <v>2</v>
      </c>
    </row>
    <row r="13" spans="1:9" x14ac:dyDescent="0.35">
      <c r="A13" s="4" t="s">
        <v>3</v>
      </c>
      <c r="B13" s="5" t="s">
        <v>30</v>
      </c>
      <c r="C13" s="5" t="s">
        <v>33</v>
      </c>
      <c r="D13" s="5" t="s">
        <v>39</v>
      </c>
      <c r="E13" s="8">
        <v>9956</v>
      </c>
      <c r="F13" s="10">
        <v>0.12</v>
      </c>
      <c r="G13" s="10">
        <f>Table1[[#This Row],[Stock on Hand]]*Table1[[#This Row],[Unit Cost]]</f>
        <v>1194.72</v>
      </c>
      <c r="H13" s="8">
        <v>73</v>
      </c>
      <c r="I13" s="12">
        <v>4</v>
      </c>
    </row>
    <row r="14" spans="1:9" x14ac:dyDescent="0.35">
      <c r="A14" s="4" t="s">
        <v>4</v>
      </c>
      <c r="B14" s="5" t="s">
        <v>27</v>
      </c>
      <c r="C14" s="5" t="s">
        <v>33</v>
      </c>
      <c r="D14" s="5" t="s">
        <v>39</v>
      </c>
      <c r="E14" s="8">
        <v>5419</v>
      </c>
      <c r="F14" s="10">
        <v>0.05</v>
      </c>
      <c r="G14" s="10">
        <f>Table1[[#This Row],[Stock on Hand]]*Table1[[#This Row],[Unit Cost]]</f>
        <v>270.95</v>
      </c>
      <c r="H14" s="8">
        <v>107</v>
      </c>
      <c r="I14" s="12">
        <v>4</v>
      </c>
    </row>
    <row r="15" spans="1:9" x14ac:dyDescent="0.35">
      <c r="A15" s="4" t="s">
        <v>4</v>
      </c>
      <c r="B15" s="5" t="s">
        <v>28</v>
      </c>
      <c r="C15" s="5" t="s">
        <v>33</v>
      </c>
      <c r="D15" s="5" t="s">
        <v>39</v>
      </c>
      <c r="E15" s="8">
        <v>5315</v>
      </c>
      <c r="F15" s="10">
        <v>0.05</v>
      </c>
      <c r="G15" s="10">
        <f>Table1[[#This Row],[Stock on Hand]]*Table1[[#This Row],[Unit Cost]]</f>
        <v>265.75</v>
      </c>
      <c r="H15" s="8">
        <v>105</v>
      </c>
      <c r="I15" s="12">
        <v>1</v>
      </c>
    </row>
    <row r="16" spans="1:9" x14ac:dyDescent="0.35">
      <c r="A16" s="4" t="s">
        <v>4</v>
      </c>
      <c r="B16" s="5" t="s">
        <v>29</v>
      </c>
      <c r="C16" s="5" t="s">
        <v>33</v>
      </c>
      <c r="D16" s="5" t="s">
        <v>39</v>
      </c>
      <c r="E16" s="8">
        <v>2067</v>
      </c>
      <c r="F16" s="10">
        <v>0.05</v>
      </c>
      <c r="G16" s="10">
        <f>Table1[[#This Row],[Stock on Hand]]*Table1[[#This Row],[Unit Cost]]</f>
        <v>103.35000000000001</v>
      </c>
      <c r="H16" s="8">
        <v>42</v>
      </c>
      <c r="I16" s="12">
        <v>4</v>
      </c>
    </row>
    <row r="17" spans="1:9" x14ac:dyDescent="0.35">
      <c r="A17" s="4" t="s">
        <v>4</v>
      </c>
      <c r="B17" s="5" t="s">
        <v>30</v>
      </c>
      <c r="C17" s="5" t="s">
        <v>33</v>
      </c>
      <c r="D17" s="5" t="s">
        <v>39</v>
      </c>
      <c r="E17" s="8">
        <v>3561</v>
      </c>
      <c r="F17" s="10">
        <v>0.05</v>
      </c>
      <c r="G17" s="10">
        <f>Table1[[#This Row],[Stock on Hand]]*Table1[[#This Row],[Unit Cost]]</f>
        <v>178.05</v>
      </c>
      <c r="H17" s="8">
        <v>100</v>
      </c>
      <c r="I17" s="12">
        <v>2</v>
      </c>
    </row>
    <row r="18" spans="1:9" x14ac:dyDescent="0.35">
      <c r="A18" s="4" t="s">
        <v>5</v>
      </c>
      <c r="B18" s="5" t="s">
        <v>26</v>
      </c>
      <c r="C18" s="5" t="s">
        <v>34</v>
      </c>
      <c r="D18" s="5" t="s">
        <v>39</v>
      </c>
      <c r="E18" s="8">
        <v>1735</v>
      </c>
      <c r="F18" s="10">
        <v>1.45</v>
      </c>
      <c r="G18" s="10">
        <f>Table1[[#This Row],[Stock on Hand]]*Table1[[#This Row],[Unit Cost]]</f>
        <v>2515.75</v>
      </c>
      <c r="H18" s="8">
        <v>95</v>
      </c>
      <c r="I18" s="12">
        <v>1</v>
      </c>
    </row>
    <row r="19" spans="1:9" x14ac:dyDescent="0.35">
      <c r="A19" s="4" t="s">
        <v>5</v>
      </c>
      <c r="B19" s="5" t="s">
        <v>28</v>
      </c>
      <c r="C19" s="5" t="s">
        <v>34</v>
      </c>
      <c r="D19" s="5" t="s">
        <v>39</v>
      </c>
      <c r="E19" s="8">
        <v>9901</v>
      </c>
      <c r="F19" s="10">
        <v>1.45</v>
      </c>
      <c r="G19" s="10">
        <f>Table1[[#This Row],[Stock on Hand]]*Table1[[#This Row],[Unit Cost]]</f>
        <v>14356.449999999999</v>
      </c>
      <c r="H19" s="8">
        <v>78</v>
      </c>
      <c r="I19" s="12">
        <v>1</v>
      </c>
    </row>
    <row r="20" spans="1:9" x14ac:dyDescent="0.35">
      <c r="A20" s="4" t="s">
        <v>5</v>
      </c>
      <c r="B20" s="5" t="s">
        <v>30</v>
      </c>
      <c r="C20" s="5" t="s">
        <v>34</v>
      </c>
      <c r="D20" s="5" t="s">
        <v>39</v>
      </c>
      <c r="E20" s="8">
        <v>6945</v>
      </c>
      <c r="F20" s="10">
        <v>1.45</v>
      </c>
      <c r="G20" s="10">
        <f>Table1[[#This Row],[Stock on Hand]]*Table1[[#This Row],[Unit Cost]]</f>
        <v>10070.25</v>
      </c>
      <c r="H20" s="8">
        <v>33</v>
      </c>
      <c r="I20" s="12">
        <v>3</v>
      </c>
    </row>
    <row r="21" spans="1:9" x14ac:dyDescent="0.35">
      <c r="A21" s="4" t="s">
        <v>6</v>
      </c>
      <c r="B21" s="5" t="s">
        <v>26</v>
      </c>
      <c r="C21" s="5" t="s">
        <v>35</v>
      </c>
      <c r="D21" s="5" t="s">
        <v>39</v>
      </c>
      <c r="E21" s="8">
        <v>9532</v>
      </c>
      <c r="F21" s="10">
        <v>0.1</v>
      </c>
      <c r="G21" s="10">
        <f>Table1[[#This Row],[Stock on Hand]]*Table1[[#This Row],[Unit Cost]]</f>
        <v>953.2</v>
      </c>
      <c r="H21" s="8">
        <v>67</v>
      </c>
      <c r="I21" s="12">
        <v>2</v>
      </c>
    </row>
    <row r="22" spans="1:9" x14ac:dyDescent="0.35">
      <c r="A22" s="4" t="s">
        <v>6</v>
      </c>
      <c r="B22" s="5" t="s">
        <v>30</v>
      </c>
      <c r="C22" s="5" t="s">
        <v>35</v>
      </c>
      <c r="D22" s="5" t="s">
        <v>39</v>
      </c>
      <c r="E22" s="8">
        <v>3362</v>
      </c>
      <c r="F22" s="10">
        <v>0.1</v>
      </c>
      <c r="G22" s="10">
        <f>Table1[[#This Row],[Stock on Hand]]*Table1[[#This Row],[Unit Cost]]</f>
        <v>336.20000000000005</v>
      </c>
      <c r="H22" s="8">
        <v>114</v>
      </c>
      <c r="I22" s="12">
        <v>1</v>
      </c>
    </row>
    <row r="23" spans="1:9" x14ac:dyDescent="0.35">
      <c r="A23" s="4" t="s">
        <v>7</v>
      </c>
      <c r="B23" s="5" t="s">
        <v>26</v>
      </c>
      <c r="C23" s="5" t="s">
        <v>35</v>
      </c>
      <c r="D23" s="5" t="s">
        <v>39</v>
      </c>
      <c r="E23" s="8">
        <v>8989</v>
      </c>
      <c r="F23" s="10">
        <v>0.18</v>
      </c>
      <c r="G23" s="10">
        <f>Table1[[#This Row],[Stock on Hand]]*Table1[[#This Row],[Unit Cost]]</f>
        <v>1618.02</v>
      </c>
      <c r="H23" s="8">
        <v>119</v>
      </c>
      <c r="I23" s="12">
        <v>2</v>
      </c>
    </row>
    <row r="24" spans="1:9" x14ac:dyDescent="0.35">
      <c r="A24" s="4" t="s">
        <v>7</v>
      </c>
      <c r="B24" s="5" t="s">
        <v>29</v>
      </c>
      <c r="C24" s="5" t="s">
        <v>35</v>
      </c>
      <c r="D24" s="5" t="s">
        <v>39</v>
      </c>
      <c r="E24" s="8">
        <v>2628</v>
      </c>
      <c r="F24" s="10">
        <v>0.18</v>
      </c>
      <c r="G24" s="10">
        <f>Table1[[#This Row],[Stock on Hand]]*Table1[[#This Row],[Unit Cost]]</f>
        <v>473.03999999999996</v>
      </c>
      <c r="H24" s="8">
        <v>89</v>
      </c>
      <c r="I24" s="12">
        <v>4</v>
      </c>
    </row>
    <row r="25" spans="1:9" x14ac:dyDescent="0.35">
      <c r="A25" s="4" t="s">
        <v>7</v>
      </c>
      <c r="B25" s="5" t="s">
        <v>30</v>
      </c>
      <c r="C25" s="5" t="s">
        <v>35</v>
      </c>
      <c r="D25" s="5" t="s">
        <v>39</v>
      </c>
      <c r="E25" s="8">
        <v>8998</v>
      </c>
      <c r="F25" s="10">
        <v>0.18</v>
      </c>
      <c r="G25" s="10">
        <f>Table1[[#This Row],[Stock on Hand]]*Table1[[#This Row],[Unit Cost]]</f>
        <v>1619.6399999999999</v>
      </c>
      <c r="H25" s="8">
        <v>35</v>
      </c>
      <c r="I25" s="12">
        <v>3</v>
      </c>
    </row>
    <row r="26" spans="1:9" x14ac:dyDescent="0.35">
      <c r="A26" s="4" t="s">
        <v>8</v>
      </c>
      <c r="B26" s="5" t="s">
        <v>26</v>
      </c>
      <c r="C26" s="5" t="s">
        <v>33</v>
      </c>
      <c r="D26" s="5" t="s">
        <v>40</v>
      </c>
      <c r="E26" s="8">
        <v>4153</v>
      </c>
      <c r="F26" s="10">
        <v>0.4</v>
      </c>
      <c r="G26" s="10">
        <f>Table1[[#This Row],[Stock on Hand]]*Table1[[#This Row],[Unit Cost]]</f>
        <v>1661.2</v>
      </c>
      <c r="H26" s="8">
        <v>106</v>
      </c>
      <c r="I26" s="12">
        <v>2</v>
      </c>
    </row>
    <row r="27" spans="1:9" x14ac:dyDescent="0.35">
      <c r="A27" s="4" t="s">
        <v>8</v>
      </c>
      <c r="B27" s="5" t="s">
        <v>29</v>
      </c>
      <c r="C27" s="5" t="s">
        <v>33</v>
      </c>
      <c r="D27" s="5" t="s">
        <v>40</v>
      </c>
      <c r="E27" s="8">
        <v>2853</v>
      </c>
      <c r="F27" s="10">
        <v>0.4</v>
      </c>
      <c r="G27" s="10">
        <f>Table1[[#This Row],[Stock on Hand]]*Table1[[#This Row],[Unit Cost]]</f>
        <v>1141.2</v>
      </c>
      <c r="H27" s="8">
        <v>41</v>
      </c>
      <c r="I27" s="12">
        <v>4</v>
      </c>
    </row>
    <row r="28" spans="1:9" x14ac:dyDescent="0.35">
      <c r="A28" s="4" t="s">
        <v>8</v>
      </c>
      <c r="B28" s="5" t="s">
        <v>30</v>
      </c>
      <c r="C28" s="5" t="s">
        <v>33</v>
      </c>
      <c r="D28" s="5" t="s">
        <v>40</v>
      </c>
      <c r="E28" s="8">
        <v>4931</v>
      </c>
      <c r="F28" s="10">
        <v>0.4</v>
      </c>
      <c r="G28" s="10">
        <f>Table1[[#This Row],[Stock on Hand]]*Table1[[#This Row],[Unit Cost]]</f>
        <v>1972.4</v>
      </c>
      <c r="H28" s="8">
        <v>72</v>
      </c>
      <c r="I28" s="12">
        <v>4</v>
      </c>
    </row>
    <row r="29" spans="1:9" x14ac:dyDescent="0.35">
      <c r="A29" s="4" t="s">
        <v>9</v>
      </c>
      <c r="B29" s="5" t="s">
        <v>30</v>
      </c>
      <c r="C29" s="5" t="s">
        <v>33</v>
      </c>
      <c r="D29" s="5" t="s">
        <v>39</v>
      </c>
      <c r="E29" s="8">
        <v>3050</v>
      </c>
      <c r="F29" s="10">
        <v>0.55000000000000004</v>
      </c>
      <c r="G29" s="10">
        <f>Table1[[#This Row],[Stock on Hand]]*Table1[[#This Row],[Unit Cost]]</f>
        <v>1677.5000000000002</v>
      </c>
      <c r="H29" s="8">
        <v>63</v>
      </c>
      <c r="I29" s="12">
        <v>1</v>
      </c>
    </row>
    <row r="30" spans="1:9" x14ac:dyDescent="0.35">
      <c r="A30" s="4" t="s">
        <v>10</v>
      </c>
      <c r="B30" s="5" t="s">
        <v>26</v>
      </c>
      <c r="C30" s="5" t="s">
        <v>36</v>
      </c>
      <c r="D30" s="5" t="s">
        <v>40</v>
      </c>
      <c r="E30" s="8">
        <v>3664</v>
      </c>
      <c r="F30" s="10">
        <v>4.2</v>
      </c>
      <c r="G30" s="10">
        <f>Table1[[#This Row],[Stock on Hand]]*Table1[[#This Row],[Unit Cost]]</f>
        <v>15388.800000000001</v>
      </c>
      <c r="H30" s="8">
        <v>76</v>
      </c>
      <c r="I30" s="12">
        <v>3</v>
      </c>
    </row>
    <row r="31" spans="1:9" x14ac:dyDescent="0.35">
      <c r="A31" s="4" t="s">
        <v>10</v>
      </c>
      <c r="B31" s="5" t="s">
        <v>27</v>
      </c>
      <c r="C31" s="5" t="s">
        <v>36</v>
      </c>
      <c r="D31" s="5" t="s">
        <v>40</v>
      </c>
      <c r="E31" s="8">
        <v>2002</v>
      </c>
      <c r="F31" s="10">
        <v>4.2</v>
      </c>
      <c r="G31" s="10">
        <f>Table1[[#This Row],[Stock on Hand]]*Table1[[#This Row],[Unit Cost]]</f>
        <v>8408.4</v>
      </c>
      <c r="H31" s="8">
        <v>47</v>
      </c>
      <c r="I31" s="12">
        <v>3</v>
      </c>
    </row>
    <row r="32" spans="1:9" x14ac:dyDescent="0.35">
      <c r="A32" s="4" t="s">
        <v>10</v>
      </c>
      <c r="B32" s="5" t="s">
        <v>28</v>
      </c>
      <c r="C32" s="5" t="s">
        <v>36</v>
      </c>
      <c r="D32" s="5" t="s">
        <v>40</v>
      </c>
      <c r="E32" s="8">
        <v>1176</v>
      </c>
      <c r="F32" s="10">
        <v>4.2</v>
      </c>
      <c r="G32" s="10">
        <f>Table1[[#This Row],[Stock on Hand]]*Table1[[#This Row],[Unit Cost]]</f>
        <v>4939.2</v>
      </c>
      <c r="H32" s="8">
        <v>118</v>
      </c>
      <c r="I32" s="12">
        <v>3</v>
      </c>
    </row>
    <row r="33" spans="1:9" x14ac:dyDescent="0.35">
      <c r="A33" s="4" t="s">
        <v>10</v>
      </c>
      <c r="B33" s="5" t="s">
        <v>29</v>
      </c>
      <c r="C33" s="5" t="s">
        <v>36</v>
      </c>
      <c r="D33" s="5" t="s">
        <v>40</v>
      </c>
      <c r="E33" s="8">
        <v>6203</v>
      </c>
      <c r="F33" s="10">
        <v>4.2</v>
      </c>
      <c r="G33" s="10">
        <f>Table1[[#This Row],[Stock on Hand]]*Table1[[#This Row],[Unit Cost]]</f>
        <v>26052.600000000002</v>
      </c>
      <c r="H33" s="8">
        <v>73</v>
      </c>
      <c r="I33" s="12">
        <v>3</v>
      </c>
    </row>
    <row r="34" spans="1:9" x14ac:dyDescent="0.35">
      <c r="A34" s="4" t="s">
        <v>11</v>
      </c>
      <c r="B34" s="5" t="s">
        <v>27</v>
      </c>
      <c r="C34" s="5" t="s">
        <v>36</v>
      </c>
      <c r="D34" s="5" t="s">
        <v>39</v>
      </c>
      <c r="E34" s="8">
        <v>5483</v>
      </c>
      <c r="F34" s="10">
        <v>1.8</v>
      </c>
      <c r="G34" s="10">
        <f>Table1[[#This Row],[Stock on Hand]]*Table1[[#This Row],[Unit Cost]]</f>
        <v>9869.4</v>
      </c>
      <c r="H34" s="8">
        <v>98</v>
      </c>
      <c r="I34" s="12">
        <v>2</v>
      </c>
    </row>
    <row r="35" spans="1:9" x14ac:dyDescent="0.35">
      <c r="A35" s="4" t="s">
        <v>11</v>
      </c>
      <c r="B35" s="5" t="s">
        <v>29</v>
      </c>
      <c r="C35" s="5" t="s">
        <v>36</v>
      </c>
      <c r="D35" s="5" t="s">
        <v>39</v>
      </c>
      <c r="E35" s="8">
        <v>4697</v>
      </c>
      <c r="F35" s="10">
        <v>1.8</v>
      </c>
      <c r="G35" s="10">
        <f>Table1[[#This Row],[Stock on Hand]]*Table1[[#This Row],[Unit Cost]]</f>
        <v>8454.6</v>
      </c>
      <c r="H35" s="8">
        <v>80</v>
      </c>
      <c r="I35" s="12">
        <v>5</v>
      </c>
    </row>
    <row r="36" spans="1:9" x14ac:dyDescent="0.35">
      <c r="A36" s="4" t="s">
        <v>11</v>
      </c>
      <c r="B36" s="5" t="s">
        <v>30</v>
      </c>
      <c r="C36" s="5" t="s">
        <v>36</v>
      </c>
      <c r="D36" s="5" t="s">
        <v>39</v>
      </c>
      <c r="E36" s="8">
        <v>8856</v>
      </c>
      <c r="F36" s="10">
        <v>1.8</v>
      </c>
      <c r="G36" s="10">
        <f>Table1[[#This Row],[Stock on Hand]]*Table1[[#This Row],[Unit Cost]]</f>
        <v>15940.800000000001</v>
      </c>
      <c r="H36" s="8">
        <v>65</v>
      </c>
      <c r="I36" s="12">
        <v>3</v>
      </c>
    </row>
    <row r="37" spans="1:9" x14ac:dyDescent="0.35">
      <c r="A37" s="4" t="s">
        <v>12</v>
      </c>
      <c r="B37" s="5" t="s">
        <v>26</v>
      </c>
      <c r="C37" s="5" t="s">
        <v>36</v>
      </c>
      <c r="D37" s="5" t="s">
        <v>39</v>
      </c>
      <c r="E37" s="8">
        <v>6643</v>
      </c>
      <c r="F37" s="10">
        <v>0.04</v>
      </c>
      <c r="G37" s="10">
        <f>Table1[[#This Row],[Stock on Hand]]*Table1[[#This Row],[Unit Cost]]</f>
        <v>265.72000000000003</v>
      </c>
      <c r="H37" s="8">
        <v>42</v>
      </c>
      <c r="I37" s="12">
        <v>1</v>
      </c>
    </row>
    <row r="38" spans="1:9" x14ac:dyDescent="0.35">
      <c r="A38" s="4" t="s">
        <v>12</v>
      </c>
      <c r="B38" s="5" t="s">
        <v>27</v>
      </c>
      <c r="C38" s="5" t="s">
        <v>36</v>
      </c>
      <c r="D38" s="5" t="s">
        <v>39</v>
      </c>
      <c r="E38" s="8">
        <v>4717</v>
      </c>
      <c r="F38" s="10">
        <v>0.04</v>
      </c>
      <c r="G38" s="10">
        <f>Table1[[#This Row],[Stock on Hand]]*Table1[[#This Row],[Unit Cost]]</f>
        <v>188.68</v>
      </c>
      <c r="H38" s="8">
        <v>70</v>
      </c>
      <c r="I38" s="12">
        <v>4</v>
      </c>
    </row>
    <row r="39" spans="1:9" x14ac:dyDescent="0.35">
      <c r="A39" s="4" t="s">
        <v>12</v>
      </c>
      <c r="B39" s="5" t="s">
        <v>28</v>
      </c>
      <c r="C39" s="5" t="s">
        <v>36</v>
      </c>
      <c r="D39" s="5" t="s">
        <v>39</v>
      </c>
      <c r="E39" s="8">
        <v>4019</v>
      </c>
      <c r="F39" s="10">
        <v>0.04</v>
      </c>
      <c r="G39" s="10">
        <f>Table1[[#This Row],[Stock on Hand]]*Table1[[#This Row],[Unit Cost]]</f>
        <v>160.76</v>
      </c>
      <c r="H39" s="8">
        <v>49</v>
      </c>
      <c r="I39" s="12">
        <v>3</v>
      </c>
    </row>
    <row r="40" spans="1:9" x14ac:dyDescent="0.35">
      <c r="A40" s="4" t="s">
        <v>12</v>
      </c>
      <c r="B40" s="5" t="s">
        <v>29</v>
      </c>
      <c r="C40" s="5" t="s">
        <v>36</v>
      </c>
      <c r="D40" s="5" t="s">
        <v>39</v>
      </c>
      <c r="E40" s="8">
        <v>3426</v>
      </c>
      <c r="F40" s="10">
        <v>0.04</v>
      </c>
      <c r="G40" s="10">
        <f>Table1[[#This Row],[Stock on Hand]]*Table1[[#This Row],[Unit Cost]]</f>
        <v>137.04</v>
      </c>
      <c r="H40" s="8">
        <v>58</v>
      </c>
      <c r="I40" s="12">
        <v>2</v>
      </c>
    </row>
    <row r="41" spans="1:9" x14ac:dyDescent="0.35">
      <c r="A41" s="4" t="s">
        <v>13</v>
      </c>
      <c r="B41" s="5" t="s">
        <v>26</v>
      </c>
      <c r="C41" s="5" t="s">
        <v>36</v>
      </c>
      <c r="D41" s="5" t="s">
        <v>39</v>
      </c>
      <c r="E41" s="8">
        <v>2069</v>
      </c>
      <c r="F41" s="10">
        <v>0.03</v>
      </c>
      <c r="G41" s="10">
        <f>Table1[[#This Row],[Stock on Hand]]*Table1[[#This Row],[Unit Cost]]</f>
        <v>62.07</v>
      </c>
      <c r="H41" s="8">
        <v>107</v>
      </c>
      <c r="I41" s="12">
        <v>1</v>
      </c>
    </row>
    <row r="42" spans="1:9" x14ac:dyDescent="0.35">
      <c r="A42" s="4" t="s">
        <v>13</v>
      </c>
      <c r="B42" s="5" t="s">
        <v>27</v>
      </c>
      <c r="C42" s="5" t="s">
        <v>36</v>
      </c>
      <c r="D42" s="5" t="s">
        <v>39</v>
      </c>
      <c r="E42" s="8">
        <v>3850</v>
      </c>
      <c r="F42" s="10">
        <v>0.03</v>
      </c>
      <c r="G42" s="10">
        <f>Table1[[#This Row],[Stock on Hand]]*Table1[[#This Row],[Unit Cost]]</f>
        <v>115.5</v>
      </c>
      <c r="H42" s="8">
        <v>74</v>
      </c>
      <c r="I42" s="12">
        <v>5</v>
      </c>
    </row>
    <row r="43" spans="1:9" x14ac:dyDescent="0.35">
      <c r="A43" s="4" t="s">
        <v>13</v>
      </c>
      <c r="B43" s="5" t="s">
        <v>28</v>
      </c>
      <c r="C43" s="5" t="s">
        <v>36</v>
      </c>
      <c r="D43" s="5" t="s">
        <v>39</v>
      </c>
      <c r="E43" s="8">
        <v>4128</v>
      </c>
      <c r="F43" s="10">
        <v>0.03</v>
      </c>
      <c r="G43" s="10">
        <f>Table1[[#This Row],[Stock on Hand]]*Table1[[#This Row],[Unit Cost]]</f>
        <v>123.83999999999999</v>
      </c>
      <c r="H43" s="8">
        <v>44</v>
      </c>
      <c r="I43" s="12">
        <v>2</v>
      </c>
    </row>
    <row r="44" spans="1:9" x14ac:dyDescent="0.35">
      <c r="A44" s="4" t="s">
        <v>13</v>
      </c>
      <c r="B44" s="5" t="s">
        <v>29</v>
      </c>
      <c r="C44" s="5" t="s">
        <v>36</v>
      </c>
      <c r="D44" s="5" t="s">
        <v>39</v>
      </c>
      <c r="E44" s="8">
        <v>7971</v>
      </c>
      <c r="F44" s="10">
        <v>0.03</v>
      </c>
      <c r="G44" s="10">
        <f>Table1[[#This Row],[Stock on Hand]]*Table1[[#This Row],[Unit Cost]]</f>
        <v>239.13</v>
      </c>
      <c r="H44" s="8">
        <v>77</v>
      </c>
      <c r="I44" s="12">
        <v>3</v>
      </c>
    </row>
    <row r="45" spans="1:9" x14ac:dyDescent="0.35">
      <c r="A45" s="4" t="s">
        <v>14</v>
      </c>
      <c r="B45" s="5" t="s">
        <v>27</v>
      </c>
      <c r="C45" s="5" t="s">
        <v>31</v>
      </c>
      <c r="D45" s="5" t="s">
        <v>39</v>
      </c>
      <c r="E45" s="8">
        <v>5727</v>
      </c>
      <c r="F45" s="10">
        <v>0.02</v>
      </c>
      <c r="G45" s="10">
        <f>Table1[[#This Row],[Stock on Hand]]*Table1[[#This Row],[Unit Cost]]</f>
        <v>114.54</v>
      </c>
      <c r="H45" s="8">
        <v>100</v>
      </c>
      <c r="I45" s="12">
        <v>5</v>
      </c>
    </row>
    <row r="46" spans="1:9" x14ac:dyDescent="0.35">
      <c r="A46" s="4" t="s">
        <v>14</v>
      </c>
      <c r="B46" s="5" t="s">
        <v>28</v>
      </c>
      <c r="C46" s="5" t="s">
        <v>31</v>
      </c>
      <c r="D46" s="5" t="s">
        <v>39</v>
      </c>
      <c r="E46" s="8">
        <v>9242</v>
      </c>
      <c r="F46" s="10">
        <v>0.02</v>
      </c>
      <c r="G46" s="10">
        <f>Table1[[#This Row],[Stock on Hand]]*Table1[[#This Row],[Unit Cost]]</f>
        <v>184.84</v>
      </c>
      <c r="H46" s="8">
        <v>111</v>
      </c>
      <c r="I46" s="12">
        <v>4</v>
      </c>
    </row>
    <row r="47" spans="1:9" x14ac:dyDescent="0.35">
      <c r="A47" s="4" t="s">
        <v>14</v>
      </c>
      <c r="B47" s="5" t="s">
        <v>29</v>
      </c>
      <c r="C47" s="5" t="s">
        <v>31</v>
      </c>
      <c r="D47" s="5" t="s">
        <v>39</v>
      </c>
      <c r="E47" s="8">
        <v>8231</v>
      </c>
      <c r="F47" s="10">
        <v>0.02</v>
      </c>
      <c r="G47" s="10">
        <f>Table1[[#This Row],[Stock on Hand]]*Table1[[#This Row],[Unit Cost]]</f>
        <v>164.62</v>
      </c>
      <c r="H47" s="8">
        <v>36</v>
      </c>
      <c r="I47" s="12">
        <v>1</v>
      </c>
    </row>
    <row r="48" spans="1:9" x14ac:dyDescent="0.35">
      <c r="A48" s="4" t="s">
        <v>15</v>
      </c>
      <c r="B48" s="5" t="s">
        <v>26</v>
      </c>
      <c r="C48" s="5" t="s">
        <v>31</v>
      </c>
      <c r="D48" s="5" t="s">
        <v>39</v>
      </c>
      <c r="E48" s="8">
        <v>6956</v>
      </c>
      <c r="F48" s="10">
        <v>0.65</v>
      </c>
      <c r="G48" s="10">
        <f>Table1[[#This Row],[Stock on Hand]]*Table1[[#This Row],[Unit Cost]]</f>
        <v>4521.4000000000005</v>
      </c>
      <c r="H48" s="8">
        <v>89</v>
      </c>
      <c r="I48" s="12">
        <v>4</v>
      </c>
    </row>
    <row r="49" spans="1:9" x14ac:dyDescent="0.35">
      <c r="A49" s="4" t="s">
        <v>15</v>
      </c>
      <c r="B49" s="5" t="s">
        <v>28</v>
      </c>
      <c r="C49" s="5" t="s">
        <v>31</v>
      </c>
      <c r="D49" s="5" t="s">
        <v>39</v>
      </c>
      <c r="E49" s="8">
        <v>5334</v>
      </c>
      <c r="F49" s="10">
        <v>0.65</v>
      </c>
      <c r="G49" s="10">
        <f>Table1[[#This Row],[Stock on Hand]]*Table1[[#This Row],[Unit Cost]]</f>
        <v>3467.1</v>
      </c>
      <c r="H49" s="8">
        <v>119</v>
      </c>
      <c r="I49" s="12">
        <v>1</v>
      </c>
    </row>
    <row r="50" spans="1:9" x14ac:dyDescent="0.35">
      <c r="A50" s="4" t="s">
        <v>15</v>
      </c>
      <c r="B50" s="5" t="s">
        <v>30</v>
      </c>
      <c r="C50" s="5" t="s">
        <v>31</v>
      </c>
      <c r="D50" s="5" t="s">
        <v>39</v>
      </c>
      <c r="E50" s="8">
        <v>4379</v>
      </c>
      <c r="F50" s="10">
        <v>0.65</v>
      </c>
      <c r="G50" s="10">
        <f>Table1[[#This Row],[Stock on Hand]]*Table1[[#This Row],[Unit Cost]]</f>
        <v>2846.35</v>
      </c>
      <c r="H50" s="8">
        <v>80</v>
      </c>
      <c r="I50" s="12">
        <v>1</v>
      </c>
    </row>
    <row r="51" spans="1:9" x14ac:dyDescent="0.35">
      <c r="A51" s="4" t="s">
        <v>16</v>
      </c>
      <c r="B51" s="5" t="s">
        <v>26</v>
      </c>
      <c r="C51" s="5" t="s">
        <v>37</v>
      </c>
      <c r="D51" s="5" t="s">
        <v>40</v>
      </c>
      <c r="E51" s="8">
        <v>8406</v>
      </c>
      <c r="F51" s="10">
        <v>1.1000000000000001</v>
      </c>
      <c r="G51" s="10">
        <f>Table1[[#This Row],[Stock on Hand]]*Table1[[#This Row],[Unit Cost]]</f>
        <v>9246.6</v>
      </c>
      <c r="H51" s="8">
        <v>73</v>
      </c>
      <c r="I51" s="12">
        <v>3</v>
      </c>
    </row>
    <row r="52" spans="1:9" x14ac:dyDescent="0.35">
      <c r="A52" s="4" t="s">
        <v>16</v>
      </c>
      <c r="B52" s="5" t="s">
        <v>27</v>
      </c>
      <c r="C52" s="5" t="s">
        <v>37</v>
      </c>
      <c r="D52" s="5" t="s">
        <v>40</v>
      </c>
      <c r="E52" s="8">
        <v>4807</v>
      </c>
      <c r="F52" s="10">
        <v>1.1000000000000001</v>
      </c>
      <c r="G52" s="10">
        <f>Table1[[#This Row],[Stock on Hand]]*Table1[[#This Row],[Unit Cost]]</f>
        <v>5287.7000000000007</v>
      </c>
      <c r="H52" s="8">
        <v>117</v>
      </c>
      <c r="I52" s="12">
        <v>3</v>
      </c>
    </row>
    <row r="53" spans="1:9" x14ac:dyDescent="0.35">
      <c r="A53" s="4" t="s">
        <v>16</v>
      </c>
      <c r="B53" s="5" t="s">
        <v>28</v>
      </c>
      <c r="C53" s="5" t="s">
        <v>37</v>
      </c>
      <c r="D53" s="5" t="s">
        <v>40</v>
      </c>
      <c r="E53" s="8">
        <v>1680</v>
      </c>
      <c r="F53" s="10">
        <v>1.1000000000000001</v>
      </c>
      <c r="G53" s="10">
        <f>Table1[[#This Row],[Stock on Hand]]*Table1[[#This Row],[Unit Cost]]</f>
        <v>1848.0000000000002</v>
      </c>
      <c r="H53" s="8">
        <v>103</v>
      </c>
      <c r="I53" s="12">
        <v>4</v>
      </c>
    </row>
    <row r="54" spans="1:9" x14ac:dyDescent="0.35">
      <c r="A54" s="4" t="s">
        <v>16</v>
      </c>
      <c r="B54" s="5" t="s">
        <v>30</v>
      </c>
      <c r="C54" s="5" t="s">
        <v>37</v>
      </c>
      <c r="D54" s="5" t="s">
        <v>40</v>
      </c>
      <c r="E54" s="8">
        <v>5896</v>
      </c>
      <c r="F54" s="10">
        <v>1.1000000000000001</v>
      </c>
      <c r="G54" s="10">
        <f>Table1[[#This Row],[Stock on Hand]]*Table1[[#This Row],[Unit Cost]]</f>
        <v>6485.6</v>
      </c>
      <c r="H54" s="8">
        <v>104</v>
      </c>
      <c r="I54" s="12">
        <v>4</v>
      </c>
    </row>
    <row r="55" spans="1:9" x14ac:dyDescent="0.35">
      <c r="A55" s="4" t="s">
        <v>17</v>
      </c>
      <c r="B55" s="5" t="s">
        <v>27</v>
      </c>
      <c r="C55" s="5" t="s">
        <v>37</v>
      </c>
      <c r="D55" s="5" t="s">
        <v>40</v>
      </c>
      <c r="E55" s="8">
        <v>2534</v>
      </c>
      <c r="F55" s="10">
        <v>0.85</v>
      </c>
      <c r="G55" s="10">
        <f>Table1[[#This Row],[Stock on Hand]]*Table1[[#This Row],[Unit Cost]]</f>
        <v>2153.9</v>
      </c>
      <c r="H55" s="8">
        <v>42</v>
      </c>
      <c r="I55" s="12">
        <v>2</v>
      </c>
    </row>
    <row r="56" spans="1:9" x14ac:dyDescent="0.35">
      <c r="A56" s="4" t="s">
        <v>17</v>
      </c>
      <c r="B56" s="5" t="s">
        <v>29</v>
      </c>
      <c r="C56" s="5" t="s">
        <v>37</v>
      </c>
      <c r="D56" s="5" t="s">
        <v>40</v>
      </c>
      <c r="E56" s="8">
        <v>4236</v>
      </c>
      <c r="F56" s="10">
        <v>0.85</v>
      </c>
      <c r="G56" s="10">
        <f>Table1[[#This Row],[Stock on Hand]]*Table1[[#This Row],[Unit Cost]]</f>
        <v>3600.6</v>
      </c>
      <c r="H56" s="8">
        <v>100</v>
      </c>
      <c r="I56" s="12">
        <v>1</v>
      </c>
    </row>
    <row r="57" spans="1:9" x14ac:dyDescent="0.35">
      <c r="A57" s="4" t="s">
        <v>17</v>
      </c>
      <c r="B57" s="5" t="s">
        <v>30</v>
      </c>
      <c r="C57" s="5" t="s">
        <v>37</v>
      </c>
      <c r="D57" s="5" t="s">
        <v>40</v>
      </c>
      <c r="E57" s="8">
        <v>3739</v>
      </c>
      <c r="F57" s="10">
        <v>0.85</v>
      </c>
      <c r="G57" s="10">
        <f>Table1[[#This Row],[Stock on Hand]]*Table1[[#This Row],[Unit Cost]]</f>
        <v>3178.15</v>
      </c>
      <c r="H57" s="8">
        <v>83</v>
      </c>
      <c r="I57" s="12">
        <v>5</v>
      </c>
    </row>
    <row r="58" spans="1:9" x14ac:dyDescent="0.35">
      <c r="A58" s="4" t="s">
        <v>18</v>
      </c>
      <c r="B58" s="5" t="s">
        <v>26</v>
      </c>
      <c r="C58" s="5" t="s">
        <v>37</v>
      </c>
      <c r="D58" s="5" t="s">
        <v>40</v>
      </c>
      <c r="E58" s="8">
        <v>9952</v>
      </c>
      <c r="F58" s="10">
        <v>0.2</v>
      </c>
      <c r="G58" s="10">
        <f>Table1[[#This Row],[Stock on Hand]]*Table1[[#This Row],[Unit Cost]]</f>
        <v>1990.4</v>
      </c>
      <c r="H58" s="8">
        <v>93</v>
      </c>
      <c r="I58" s="12">
        <v>3</v>
      </c>
    </row>
    <row r="59" spans="1:9" x14ac:dyDescent="0.35">
      <c r="A59" s="4" t="s">
        <v>18</v>
      </c>
      <c r="B59" s="5" t="s">
        <v>28</v>
      </c>
      <c r="C59" s="5" t="s">
        <v>37</v>
      </c>
      <c r="D59" s="5" t="s">
        <v>40</v>
      </c>
      <c r="E59" s="8">
        <v>7671</v>
      </c>
      <c r="F59" s="10">
        <v>0.2</v>
      </c>
      <c r="G59" s="10">
        <f>Table1[[#This Row],[Stock on Hand]]*Table1[[#This Row],[Unit Cost]]</f>
        <v>1534.2</v>
      </c>
      <c r="H59" s="8">
        <v>74</v>
      </c>
      <c r="I59" s="12">
        <v>2</v>
      </c>
    </row>
    <row r="60" spans="1:9" x14ac:dyDescent="0.35">
      <c r="A60" s="4" t="s">
        <v>19</v>
      </c>
      <c r="B60" s="5" t="s">
        <v>26</v>
      </c>
      <c r="C60" s="5" t="s">
        <v>37</v>
      </c>
      <c r="D60" s="5" t="s">
        <v>40</v>
      </c>
      <c r="E60" s="8">
        <v>2947</v>
      </c>
      <c r="F60" s="10">
        <v>0.3</v>
      </c>
      <c r="G60" s="10">
        <f>Table1[[#This Row],[Stock on Hand]]*Table1[[#This Row],[Unit Cost]]</f>
        <v>884.1</v>
      </c>
      <c r="H60" s="8">
        <v>85</v>
      </c>
      <c r="I60" s="12">
        <v>1</v>
      </c>
    </row>
    <row r="61" spans="1:9" x14ac:dyDescent="0.35">
      <c r="A61" s="4" t="s">
        <v>19</v>
      </c>
      <c r="B61" s="5" t="s">
        <v>29</v>
      </c>
      <c r="C61" s="5" t="s">
        <v>37</v>
      </c>
      <c r="D61" s="5" t="s">
        <v>40</v>
      </c>
      <c r="E61" s="8">
        <v>9770</v>
      </c>
      <c r="F61" s="10">
        <v>0.3</v>
      </c>
      <c r="G61" s="10">
        <f>Table1[[#This Row],[Stock on Hand]]*Table1[[#This Row],[Unit Cost]]</f>
        <v>2931</v>
      </c>
      <c r="H61" s="8">
        <v>34</v>
      </c>
      <c r="I61" s="12">
        <v>2</v>
      </c>
    </row>
    <row r="62" spans="1:9" x14ac:dyDescent="0.35">
      <c r="A62" s="4" t="s">
        <v>19</v>
      </c>
      <c r="B62" s="5" t="s">
        <v>30</v>
      </c>
      <c r="C62" s="5" t="s">
        <v>37</v>
      </c>
      <c r="D62" s="5" t="s">
        <v>40</v>
      </c>
      <c r="E62" s="8">
        <v>3561</v>
      </c>
      <c r="F62" s="10">
        <v>0.3</v>
      </c>
      <c r="G62" s="10">
        <f>Table1[[#This Row],[Stock on Hand]]*Table1[[#This Row],[Unit Cost]]</f>
        <v>1068.3</v>
      </c>
      <c r="H62" s="8">
        <v>37</v>
      </c>
      <c r="I62" s="12">
        <v>5</v>
      </c>
    </row>
    <row r="63" spans="1:9" x14ac:dyDescent="0.35">
      <c r="A63" s="4" t="s">
        <v>20</v>
      </c>
      <c r="B63" s="5" t="s">
        <v>26</v>
      </c>
      <c r="C63" s="5" t="s">
        <v>37</v>
      </c>
      <c r="D63" s="5" t="s">
        <v>40</v>
      </c>
      <c r="E63" s="8">
        <v>3138</v>
      </c>
      <c r="F63" s="10">
        <v>1.4</v>
      </c>
      <c r="G63" s="10">
        <f>Table1[[#This Row],[Stock on Hand]]*Table1[[#This Row],[Unit Cost]]</f>
        <v>4393.2</v>
      </c>
      <c r="H63" s="8">
        <v>119</v>
      </c>
      <c r="I63" s="12">
        <v>2</v>
      </c>
    </row>
    <row r="64" spans="1:9" x14ac:dyDescent="0.35">
      <c r="A64" s="4" t="s">
        <v>20</v>
      </c>
      <c r="B64" s="5" t="s">
        <v>28</v>
      </c>
      <c r="C64" s="5" t="s">
        <v>37</v>
      </c>
      <c r="D64" s="5" t="s">
        <v>40</v>
      </c>
      <c r="E64" s="8">
        <v>2476</v>
      </c>
      <c r="F64" s="10">
        <v>1.4</v>
      </c>
      <c r="G64" s="10">
        <f>Table1[[#This Row],[Stock on Hand]]*Table1[[#This Row],[Unit Cost]]</f>
        <v>3466.3999999999996</v>
      </c>
      <c r="H64" s="8">
        <v>72</v>
      </c>
      <c r="I64" s="12">
        <v>1</v>
      </c>
    </row>
    <row r="65" spans="1:9" x14ac:dyDescent="0.35">
      <c r="A65" s="4" t="s">
        <v>20</v>
      </c>
      <c r="B65" s="5" t="s">
        <v>29</v>
      </c>
      <c r="C65" s="5" t="s">
        <v>37</v>
      </c>
      <c r="D65" s="5" t="s">
        <v>40</v>
      </c>
      <c r="E65" s="8">
        <v>9358</v>
      </c>
      <c r="F65" s="10">
        <v>1.4</v>
      </c>
      <c r="G65" s="10">
        <f>Table1[[#This Row],[Stock on Hand]]*Table1[[#This Row],[Unit Cost]]</f>
        <v>13101.199999999999</v>
      </c>
      <c r="H65" s="8">
        <v>50</v>
      </c>
      <c r="I65" s="12">
        <v>1</v>
      </c>
    </row>
    <row r="66" spans="1:9" x14ac:dyDescent="0.35">
      <c r="A66" s="4" t="s">
        <v>20</v>
      </c>
      <c r="B66" s="5" t="s">
        <v>30</v>
      </c>
      <c r="C66" s="5" t="s">
        <v>37</v>
      </c>
      <c r="D66" s="5" t="s">
        <v>40</v>
      </c>
      <c r="E66" s="8">
        <v>1434</v>
      </c>
      <c r="F66" s="10">
        <v>1.4</v>
      </c>
      <c r="G66" s="10">
        <f>Table1[[#This Row],[Stock on Hand]]*Table1[[#This Row],[Unit Cost]]</f>
        <v>2007.6</v>
      </c>
      <c r="H66" s="8">
        <v>93</v>
      </c>
      <c r="I66" s="12">
        <v>1</v>
      </c>
    </row>
    <row r="67" spans="1:9" x14ac:dyDescent="0.35">
      <c r="A67" s="4" t="s">
        <v>21</v>
      </c>
      <c r="B67" s="5" t="s">
        <v>26</v>
      </c>
      <c r="C67" s="5" t="s">
        <v>38</v>
      </c>
      <c r="D67" s="5" t="s">
        <v>39</v>
      </c>
      <c r="E67" s="8">
        <v>6243</v>
      </c>
      <c r="F67" s="10">
        <v>0.04</v>
      </c>
      <c r="G67" s="10">
        <f>Table1[[#This Row],[Stock on Hand]]*Table1[[#This Row],[Unit Cost]]</f>
        <v>249.72</v>
      </c>
      <c r="H67" s="8">
        <v>79</v>
      </c>
      <c r="I67" s="12">
        <v>1</v>
      </c>
    </row>
    <row r="68" spans="1:9" x14ac:dyDescent="0.35">
      <c r="A68" s="4" t="s">
        <v>21</v>
      </c>
      <c r="B68" s="5" t="s">
        <v>27</v>
      </c>
      <c r="C68" s="5" t="s">
        <v>38</v>
      </c>
      <c r="D68" s="5" t="s">
        <v>39</v>
      </c>
      <c r="E68" s="8">
        <v>8894</v>
      </c>
      <c r="F68" s="10">
        <v>0.04</v>
      </c>
      <c r="G68" s="10">
        <f>Table1[[#This Row],[Stock on Hand]]*Table1[[#This Row],[Unit Cost]]</f>
        <v>355.76</v>
      </c>
      <c r="H68" s="8">
        <v>105</v>
      </c>
      <c r="I68" s="12">
        <v>4</v>
      </c>
    </row>
    <row r="69" spans="1:9" x14ac:dyDescent="0.35">
      <c r="A69" s="4" t="s">
        <v>21</v>
      </c>
      <c r="B69" s="5" t="s">
        <v>28</v>
      </c>
      <c r="C69" s="5" t="s">
        <v>38</v>
      </c>
      <c r="D69" s="5" t="s">
        <v>39</v>
      </c>
      <c r="E69" s="8">
        <v>8994</v>
      </c>
      <c r="F69" s="10">
        <v>0.04</v>
      </c>
      <c r="G69" s="10">
        <f>Table1[[#This Row],[Stock on Hand]]*Table1[[#This Row],[Unit Cost]]</f>
        <v>359.76</v>
      </c>
      <c r="H69" s="8">
        <v>79</v>
      </c>
      <c r="I69" s="12">
        <v>3</v>
      </c>
    </row>
    <row r="70" spans="1:9" x14ac:dyDescent="0.35">
      <c r="A70" s="4" t="s">
        <v>21</v>
      </c>
      <c r="B70" s="5" t="s">
        <v>29</v>
      </c>
      <c r="C70" s="5" t="s">
        <v>38</v>
      </c>
      <c r="D70" s="5" t="s">
        <v>39</v>
      </c>
      <c r="E70" s="8">
        <v>8789</v>
      </c>
      <c r="F70" s="10">
        <v>0.04</v>
      </c>
      <c r="G70" s="10">
        <f>Table1[[#This Row],[Stock on Hand]]*Table1[[#This Row],[Unit Cost]]</f>
        <v>351.56</v>
      </c>
      <c r="H70" s="8">
        <v>99</v>
      </c>
      <c r="I70" s="12">
        <v>2</v>
      </c>
    </row>
    <row r="71" spans="1:9" x14ac:dyDescent="0.35">
      <c r="A71" s="4" t="s">
        <v>21</v>
      </c>
      <c r="B71" s="5" t="s">
        <v>30</v>
      </c>
      <c r="C71" s="5" t="s">
        <v>38</v>
      </c>
      <c r="D71" s="5" t="s">
        <v>39</v>
      </c>
      <c r="E71" s="8">
        <v>8288</v>
      </c>
      <c r="F71" s="10">
        <v>0.04</v>
      </c>
      <c r="G71" s="10">
        <f>Table1[[#This Row],[Stock on Hand]]*Table1[[#This Row],[Unit Cost]]</f>
        <v>331.52</v>
      </c>
      <c r="H71" s="8">
        <v>50</v>
      </c>
      <c r="I71" s="12">
        <v>5</v>
      </c>
    </row>
    <row r="72" spans="1:9" x14ac:dyDescent="0.35">
      <c r="A72" s="4" t="s">
        <v>22</v>
      </c>
      <c r="B72" s="5" t="s">
        <v>27</v>
      </c>
      <c r="C72" s="5" t="s">
        <v>38</v>
      </c>
      <c r="D72" s="5" t="s">
        <v>39</v>
      </c>
      <c r="E72" s="8">
        <v>7283</v>
      </c>
      <c r="F72" s="10">
        <v>0.45</v>
      </c>
      <c r="G72" s="10">
        <f>Table1[[#This Row],[Stock on Hand]]*Table1[[#This Row],[Unit Cost]]</f>
        <v>3277.35</v>
      </c>
      <c r="H72" s="8">
        <v>107</v>
      </c>
      <c r="I72" s="12">
        <v>2</v>
      </c>
    </row>
    <row r="73" spans="1:9" x14ac:dyDescent="0.35">
      <c r="A73" s="4" t="s">
        <v>22</v>
      </c>
      <c r="B73" s="5" t="s">
        <v>30</v>
      </c>
      <c r="C73" s="5" t="s">
        <v>38</v>
      </c>
      <c r="D73" s="5" t="s">
        <v>39</v>
      </c>
      <c r="E73" s="8">
        <v>5656</v>
      </c>
      <c r="F73" s="10">
        <v>0.45</v>
      </c>
      <c r="G73" s="10">
        <f>Table1[[#This Row],[Stock on Hand]]*Table1[[#This Row],[Unit Cost]]</f>
        <v>2545.2000000000003</v>
      </c>
      <c r="H73" s="8">
        <v>99</v>
      </c>
      <c r="I73" s="12">
        <v>4</v>
      </c>
    </row>
    <row r="74" spans="1:9" x14ac:dyDescent="0.35">
      <c r="A74" s="4" t="s">
        <v>23</v>
      </c>
      <c r="B74" s="5" t="s">
        <v>29</v>
      </c>
      <c r="C74" s="5" t="s">
        <v>32</v>
      </c>
      <c r="D74" s="5" t="s">
        <v>39</v>
      </c>
      <c r="E74" s="8">
        <v>9043</v>
      </c>
      <c r="F74" s="10">
        <v>0.55000000000000004</v>
      </c>
      <c r="G74" s="10">
        <f>Table1[[#This Row],[Stock on Hand]]*Table1[[#This Row],[Unit Cost]]</f>
        <v>4973.6500000000005</v>
      </c>
      <c r="H74" s="8">
        <v>116</v>
      </c>
      <c r="I74" s="12">
        <v>3</v>
      </c>
    </row>
    <row r="75" spans="1:9" x14ac:dyDescent="0.35">
      <c r="A75" s="4" t="s">
        <v>23</v>
      </c>
      <c r="B75" s="5" t="s">
        <v>30</v>
      </c>
      <c r="C75" s="5" t="s">
        <v>32</v>
      </c>
      <c r="D75" s="5" t="s">
        <v>39</v>
      </c>
      <c r="E75" s="8">
        <v>5571</v>
      </c>
      <c r="F75" s="10">
        <v>0.55000000000000004</v>
      </c>
      <c r="G75" s="10">
        <f>Table1[[#This Row],[Stock on Hand]]*Table1[[#This Row],[Unit Cost]]</f>
        <v>3064.05</v>
      </c>
      <c r="H75" s="8">
        <v>69</v>
      </c>
      <c r="I75" s="12">
        <v>3</v>
      </c>
    </row>
    <row r="76" spans="1:9" x14ac:dyDescent="0.35">
      <c r="A76" s="4" t="s">
        <v>24</v>
      </c>
      <c r="B76" s="5" t="s">
        <v>26</v>
      </c>
      <c r="C76" s="5" t="s">
        <v>34</v>
      </c>
      <c r="D76" s="5" t="s">
        <v>39</v>
      </c>
      <c r="E76" s="8">
        <v>4090</v>
      </c>
      <c r="F76" s="10">
        <v>0.85</v>
      </c>
      <c r="G76" s="10">
        <f>Table1[[#This Row],[Stock on Hand]]*Table1[[#This Row],[Unit Cost]]</f>
        <v>3476.5</v>
      </c>
      <c r="H76" s="8">
        <v>40</v>
      </c>
      <c r="I76" s="12">
        <v>5</v>
      </c>
    </row>
    <row r="77" spans="1:9" x14ac:dyDescent="0.35">
      <c r="A77" s="4" t="s">
        <v>24</v>
      </c>
      <c r="B77" s="5" t="s">
        <v>28</v>
      </c>
      <c r="C77" s="5" t="s">
        <v>34</v>
      </c>
      <c r="D77" s="5" t="s">
        <v>39</v>
      </c>
      <c r="E77" s="8">
        <v>5867</v>
      </c>
      <c r="F77" s="10">
        <v>0.85</v>
      </c>
      <c r="G77" s="10">
        <f>Table1[[#This Row],[Stock on Hand]]*Table1[[#This Row],[Unit Cost]]</f>
        <v>4986.95</v>
      </c>
      <c r="H77" s="8">
        <v>75</v>
      </c>
      <c r="I77" s="12">
        <v>4</v>
      </c>
    </row>
    <row r="78" spans="1:9" x14ac:dyDescent="0.35">
      <c r="A78" s="4" t="s">
        <v>24</v>
      </c>
      <c r="B78" s="5" t="s">
        <v>29</v>
      </c>
      <c r="C78" s="5" t="s">
        <v>34</v>
      </c>
      <c r="D78" s="5" t="s">
        <v>39</v>
      </c>
      <c r="E78" s="8">
        <v>4272</v>
      </c>
      <c r="F78" s="10">
        <v>0.85</v>
      </c>
      <c r="G78" s="10">
        <f>Table1[[#This Row],[Stock on Hand]]*Table1[[#This Row],[Unit Cost]]</f>
        <v>3631.2</v>
      </c>
      <c r="H78" s="8">
        <v>68</v>
      </c>
      <c r="I78" s="12">
        <v>4</v>
      </c>
    </row>
    <row r="79" spans="1:9" x14ac:dyDescent="0.35">
      <c r="A79" s="4" t="s">
        <v>24</v>
      </c>
      <c r="B79" s="5" t="s">
        <v>30</v>
      </c>
      <c r="C79" s="5" t="s">
        <v>34</v>
      </c>
      <c r="D79" s="5" t="s">
        <v>39</v>
      </c>
      <c r="E79" s="8">
        <v>8408</v>
      </c>
      <c r="F79" s="10">
        <v>0.85</v>
      </c>
      <c r="G79" s="10">
        <f>Table1[[#This Row],[Stock on Hand]]*Table1[[#This Row],[Unit Cost]]</f>
        <v>7146.8</v>
      </c>
      <c r="H79" s="8">
        <v>120</v>
      </c>
      <c r="I79" s="12">
        <v>5</v>
      </c>
    </row>
    <row r="80" spans="1:9" x14ac:dyDescent="0.35">
      <c r="A80" s="4" t="s">
        <v>25</v>
      </c>
      <c r="B80" s="5" t="s">
        <v>26</v>
      </c>
      <c r="C80" s="5" t="s">
        <v>38</v>
      </c>
      <c r="D80" s="5" t="s">
        <v>39</v>
      </c>
      <c r="E80" s="8">
        <v>1867</v>
      </c>
      <c r="F80" s="10">
        <v>0.12</v>
      </c>
      <c r="G80" s="10">
        <f>Table1[[#This Row],[Stock on Hand]]*Table1[[#This Row],[Unit Cost]]</f>
        <v>224.04</v>
      </c>
      <c r="H80" s="8">
        <v>54</v>
      </c>
      <c r="I80" s="12">
        <v>5</v>
      </c>
    </row>
    <row r="81" spans="1:9" x14ac:dyDescent="0.35">
      <c r="A81" s="4" t="s">
        <v>25</v>
      </c>
      <c r="B81" s="5" t="s">
        <v>27</v>
      </c>
      <c r="C81" s="5" t="s">
        <v>38</v>
      </c>
      <c r="D81" s="5" t="s">
        <v>39</v>
      </c>
      <c r="E81" s="8">
        <v>9425</v>
      </c>
      <c r="F81" s="10">
        <v>0.12</v>
      </c>
      <c r="G81" s="10">
        <f>Table1[[#This Row],[Stock on Hand]]*Table1[[#This Row],[Unit Cost]]</f>
        <v>1131</v>
      </c>
      <c r="H81" s="8">
        <v>41</v>
      </c>
      <c r="I81" s="12">
        <v>3</v>
      </c>
    </row>
    <row r="82" spans="1:9" x14ac:dyDescent="0.35">
      <c r="A82" s="4" t="s">
        <v>25</v>
      </c>
      <c r="B82" s="5" t="s">
        <v>28</v>
      </c>
      <c r="C82" s="5" t="s">
        <v>38</v>
      </c>
      <c r="D82" s="5" t="s">
        <v>39</v>
      </c>
      <c r="E82" s="8">
        <v>2661</v>
      </c>
      <c r="F82" s="10">
        <v>0.12</v>
      </c>
      <c r="G82" s="10">
        <f>Table1[[#This Row],[Stock on Hand]]*Table1[[#This Row],[Unit Cost]]</f>
        <v>319.32</v>
      </c>
      <c r="H82" s="8">
        <v>79</v>
      </c>
      <c r="I82" s="12">
        <v>2</v>
      </c>
    </row>
    <row r="83" spans="1:9" x14ac:dyDescent="0.35">
      <c r="A83" s="4" t="s">
        <v>25</v>
      </c>
      <c r="B83" s="5" t="s">
        <v>29</v>
      </c>
      <c r="C83" s="5" t="s">
        <v>38</v>
      </c>
      <c r="D83" s="5" t="s">
        <v>39</v>
      </c>
      <c r="E83" s="8">
        <v>8300</v>
      </c>
      <c r="F83" s="10">
        <v>0.12</v>
      </c>
      <c r="G83" s="10">
        <f>Table1[[#This Row],[Stock on Hand]]*Table1[[#This Row],[Unit Cost]]</f>
        <v>996</v>
      </c>
      <c r="H83" s="8">
        <v>117</v>
      </c>
      <c r="I83" s="12">
        <v>1</v>
      </c>
    </row>
    <row r="84" spans="1:9" x14ac:dyDescent="0.35">
      <c r="A84" s="6" t="s">
        <v>25</v>
      </c>
      <c r="B84" s="7" t="s">
        <v>30</v>
      </c>
      <c r="C84" s="7" t="s">
        <v>38</v>
      </c>
      <c r="D84" s="7" t="s">
        <v>39</v>
      </c>
      <c r="E84" s="9">
        <v>9269</v>
      </c>
      <c r="F84" s="11">
        <v>0.12</v>
      </c>
      <c r="G84" s="10">
        <f>Table1[[#This Row],[Stock on Hand]]*Table1[[#This Row],[Unit Cost]]</f>
        <v>1112.28</v>
      </c>
      <c r="H84" s="9">
        <v>120</v>
      </c>
      <c r="I84" s="13">
        <v>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C7FD-D30F-46DD-81A4-71F0573040E2}">
  <sheetPr>
    <pageSetUpPr fitToPage="1"/>
  </sheetPr>
  <dimension ref="A1"/>
  <sheetViews>
    <sheetView showGridLines="0" tabSelected="1" topLeftCell="A10" zoomScale="50" zoomScaleNormal="50" workbookViewId="0">
      <selection activeCell="AJ26" sqref="AJ26"/>
    </sheetView>
  </sheetViews>
  <sheetFormatPr defaultRowHeight="14.5" x14ac:dyDescent="0.35"/>
  <cols>
    <col min="1" max="29" width="8.7265625" style="30"/>
    <col min="30" max="33" width="8.7265625" style="30" customWidth="1"/>
    <col min="34" max="16384" width="8.7265625" style="30"/>
  </cols>
  <sheetData/>
  <printOptions horizontalCentered="1" verticalCentered="1"/>
  <pageMargins left="0.3" right="0.3" top="0.3" bottom="0.3" header="0.3" footer="0.3"/>
  <pageSetup paperSize="9" scale="52"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health_inventory_by_country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FREDRICK MACHEMBA</dc:creator>
  <cp:lastModifiedBy>FREDRICK MACHEMBA</cp:lastModifiedBy>
  <cp:lastPrinted>2026-05-08T22:07:49Z</cp:lastPrinted>
  <dcterms:created xsi:type="dcterms:W3CDTF">2026-05-06T17:09:01Z</dcterms:created>
  <dcterms:modified xsi:type="dcterms:W3CDTF">2026-05-10T00:25:26Z</dcterms:modified>
</cp:coreProperties>
</file>