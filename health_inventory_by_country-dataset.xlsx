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ork EX\"/>
    </mc:Choice>
  </mc:AlternateContent>
  <xr:revisionPtr revIDLastSave="0" documentId="13_ncr:1_{285D538A-4778-4AE0-A66E-E3CCB2FE769B}" xr6:coauthVersionLast="47" xr6:coauthVersionMax="47" xr10:uidLastSave="{00000000-0000-0000-0000-000000000000}"/>
  <bookViews>
    <workbookView xWindow="-110" yWindow="-110" windowWidth="19420" windowHeight="10300" tabRatio="733" xr2:uid="{00000000-000D-0000-FFFF-FFFF00000000}"/>
  </bookViews>
  <sheets>
    <sheet name="health_inventory_by_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<sst xmlns="http://schemas.openxmlformats.org/spreadsheetml/2006/main" count="341" uniqueCount="49">
  <si>
    <t>Country</t>
  </si>
  <si>
    <t>Amoxicillin 500mg Capsule</t>
  </si>
  <si>
    <t>Artemether-Lumefantrine 20/120</t>
  </si>
  <si>
    <t>Oral Rehydration Salts</t>
  </si>
  <si>
    <t>Zinc Sulfate 20mg</t>
  </si>
  <si>
    <t>Tenofovir/Lamivudine/Dolutegravir</t>
  </si>
  <si>
    <t>Isoniazid 300mg</t>
  </si>
  <si>
    <t>Rifampicin 300mg</t>
  </si>
  <si>
    <t>Oxytocin 10IU/mL Injection</t>
  </si>
  <si>
    <t>Magnesium Sulfate 50% Inj</t>
  </si>
  <si>
    <t>Insulin Human 100IU/mL</t>
  </si>
  <si>
    <t>Salbutamol Inhaler 100mcg</t>
  </si>
  <si>
    <t>Amlodipine 5mg</t>
  </si>
  <si>
    <t>Metformin 500mg</t>
  </si>
  <si>
    <t>Paracetamol 500mg</t>
  </si>
  <si>
    <t>Ceftriaxone 1g Injection</t>
  </si>
  <si>
    <t>Pentavalent Vaccine</t>
  </si>
  <si>
    <t>Measles-Rubella Vaccine</t>
  </si>
  <si>
    <t>BCG Vaccine</t>
  </si>
  <si>
    <t>Oral Polio Vaccine</t>
  </si>
  <si>
    <t>Yellow Fever Vaccine</t>
  </si>
  <si>
    <t>Male Latex Condom</t>
  </si>
  <si>
    <t>Combined Oral Contraceptive</t>
  </si>
  <si>
    <t>Malaria RDT Kit</t>
  </si>
  <si>
    <t>HIV Rapid Test Kit</t>
  </si>
  <si>
    <t>Pregnancy Test Strip</t>
  </si>
  <si>
    <t>Kenya</t>
  </si>
  <si>
    <t>Nigeria</t>
  </si>
  <si>
    <t>Uganda</t>
  </si>
  <si>
    <t>Tanzania</t>
  </si>
  <si>
    <t>Ghana</t>
  </si>
  <si>
    <t>Anti-Infective</t>
  </si>
  <si>
    <t>Malaria</t>
  </si>
  <si>
    <t>MNCH</t>
  </si>
  <si>
    <t>HIV</t>
  </si>
  <si>
    <t>TB</t>
  </si>
  <si>
    <t>NCD</t>
  </si>
  <si>
    <t>Vaccine</t>
  </si>
  <si>
    <t>Reproductive</t>
  </si>
  <si>
    <t>No</t>
  </si>
  <si>
    <t>Yes</t>
  </si>
  <si>
    <t>Product Name</t>
  </si>
  <si>
    <t>Therapeutic Area</t>
  </si>
  <si>
    <t>Cold Chain Required</t>
  </si>
  <si>
    <t>Stock on Hand</t>
  </si>
  <si>
    <t>Unit Cost</t>
  </si>
  <si>
    <t>Inventory Value</t>
  </si>
  <si>
    <t>Days of Stock</t>
  </si>
  <si>
    <t>Facility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</si>
</sst>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3" fontId="0" fillId="0" borderId="1" xfId="0" applyNumberFormat="1" applyBorder="1"/>
    <xf numFmtId="3" fontId="0" fillId="0" borderId="8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3" fontId="0" fillId="0" borderId="6" xfId="0" applyNumberFormat="1" applyBorder="1"/>
    <xf numFmtId="3" fontId="0" fillId="0" borderId="9" xfId="0" applyNumberFormat="1" applyBorder="1"/>
  </cellXfs>
  <cellStyles count="1">
    <cellStyle name="Normal" xfId="0" builtinId="0"/>
  </cellStyles>
  <dxfs count="21"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z val="10"/>
        <color theme="0"/>
        <name val="Cambria"/>
        <family val="1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0"/>
        <color rgb="FF200F07"/>
        <name val="Cambria"/>
        <family val="1"/>
        <scheme val="major"/>
      </font>
      <fill>
        <patternFill patternType="solid">
          <fgColor rgb="FF200F07"/>
          <bgColor rgb="FF200F07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0"/>
        <name val="Cambria"/>
        <family val="1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0"/>
        <color rgb="FF040236"/>
        <name val="Cambria"/>
        <family val="1"/>
        <scheme val="major"/>
      </font>
      <fill>
        <patternFill>
          <bgColor rgb="FF00206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0"/>
        <name val="Cambria"/>
        <family val="1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0"/>
        <color rgb="FF200F07"/>
        <name val="Cambria"/>
        <family val="1"/>
        <scheme val="major"/>
      </font>
      <fill>
        <patternFill>
          <bgColor rgb="FF00206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0"/>
        <name val="Cambria"/>
        <family val="1"/>
        <scheme val="major"/>
      </font>
      <fill>
        <patternFill>
          <fgColor rgb="FF200F07"/>
        </patternFill>
      </fill>
      <border>
        <bottom style="thin">
          <color theme="4"/>
        </bottom>
        <vertical/>
        <horizontal/>
      </border>
    </dxf>
    <dxf>
      <font>
        <b/>
        <i val="0"/>
        <sz val="10"/>
        <color rgb="FF200F07"/>
        <name val="Cambria"/>
        <family val="1"/>
        <scheme val="major"/>
      </font>
      <fill>
        <patternFill patternType="solid">
          <fgColor rgb="FF200F07"/>
          <bgColor theme="2" tint="-0.89996032593768116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9" defaultPivotStyle="PivotStyleLight16">
    <tableStyle name="Invisible" pivot="0" table="0" count="0" xr9:uid="{14FD9647-03C2-4E4A-B927-5400D48A8518}"/>
    <tableStyle name="MjrSlicer" pivot="0" table="0" count="10" xr9:uid="{FDFBE108-5644-47CA-82C9-B1716619FA40}">
      <tableStyleElement type="wholeTable" dxfId="20"/>
      <tableStyleElement type="headerRow" dxfId="19"/>
    </tableStyle>
    <tableStyle name="MjrSlicer 2" pivot="0" table="0" count="10" xr9:uid="{9469D85B-AFF9-46AE-A26B-F8AEA9C9D7B1}">
      <tableStyleElement type="wholeTable" dxfId="18"/>
      <tableStyleElement type="headerRow" dxfId="17"/>
    </tableStyle>
    <tableStyle name="MjrSlicer 2 2" pivot="0" table="0" count="10" xr9:uid="{4C4325D6-745B-4280-9FD9-386B14EC0BE2}">
      <tableStyleElement type="wholeTable" dxfId="16"/>
      <tableStyleElement type="headerRow" dxfId="15"/>
    </tableStyle>
    <tableStyle name="MjrSlicer 3" pivot="0" table="0" count="10" xr9:uid="{4BF69644-2933-4CB2-AFD1-5C7CC4B1029F}">
      <tableStyleElement type="wholeTable" dxfId="14"/>
      <tableStyleElement type="headerRow" dxfId="13"/>
    </tableStyle>
  </tableStyles>
  <colors>
    <mruColors>
      <color rgb="FF040236"/>
      <color rgb="FF10123B"/>
      <color rgb="FF200F07"/>
      <color rgb="FF12133D"/>
      <color rgb="FF6E6E6E"/>
      <color rgb="FFF6F5F0"/>
      <color rgb="FF1F2357"/>
      <color rgb="FFB77729"/>
      <color rgb="FF12143D"/>
      <color rgb="FF010008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jrSlicer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MjrSlicer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MjrSlicer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jrSlicer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52364F-D8DC-4F75-B80E-4AA232F8EEDD}" name="Table1" displayName="Table1" ref="A1:I84" totalsRowShown="0" headerRowDxfId="12" headerRowBorderDxfId="11" tableBorderDxfId="10" totalsRowBorderDxfId="9">
  <tableColumns count="9">
    <tableColumn id="1" xr3:uid="{59C8942C-1DDA-45A3-A465-08B3E20062A7}" name="Product Name" dataDxfId="8"/>
    <tableColumn id="2" xr3:uid="{5CB9C521-5E4A-4359-B1AC-94031B5A3B8D}" name="Country" dataDxfId="7"/>
    <tableColumn id="3" xr3:uid="{6A2A35C8-08A4-428F-A5E6-181D354F6006}" name="Therapeutic Area" dataDxfId="6"/>
    <tableColumn id="4" xr3:uid="{3A4E58A6-0FBC-4554-9DA9-1D74A022644F}" name="Cold Chain Required" dataDxfId="5"/>
    <tableColumn id="5" xr3:uid="{A4A52B74-31AA-49EA-BB08-1528B707581C}" name="Stock on Hand" dataDxfId="4"/>
    <tableColumn id="6" xr3:uid="{15EA0F2A-D415-4B46-B46B-037A631F9C91}" name="Unit Cost" dataDxfId="3"/>
    <tableColumn id="7" xr3:uid="{F10BA51A-ACEB-4CB3-AB9F-13BE3F4F2C43}" name="Inventory Value" dataDxfId="2"/>
    <tableColumn id="8" xr3:uid="{BBE4DDD2-2B52-4EE3-A54F-A1FDB26659B2}" name="Days of Stock" dataDxfId="1"/>
    <tableColumn id="9" xr3:uid="{C1787A30-0DBF-4AC2-8C32-CF97E19551F2}" name="Facility 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2A7612-A64F-46B3-A8FC-B1A3381F237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58f53bc-3bf0-4492-b16d-59eec5d942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40" workbookViewId="0">
      <selection activeCell="K14" sqref="K14"/>
    </sheetView>
  </sheetViews>
  <sheetFormatPr defaultRowHeight="14.5" x14ac:dyDescent="0.35"/>
  <cols>
    <col min="1" max="1" width="30.7265625" bestFit="1" customWidth="1"/>
    <col min="2" max="2" width="8.26953125" bestFit="1" customWidth="1"/>
    <col min="3" max="3" width="19.81640625" bestFit="1" customWidth="1"/>
    <col min="4" max="4" width="17.90625" bestFit="1" customWidth="1"/>
    <col min="5" max="5" width="13" bestFit="1" customWidth="1"/>
    <col min="6" max="6" width="8.54296875" bestFit="1" customWidth="1"/>
    <col min="7" max="7" width="14.1796875" bestFit="1" customWidth="1"/>
    <col min="8" max="8" width="12" bestFit="1" customWidth="1"/>
    <col min="9" max="9" width="12.08984375" bestFit="1" customWidth="1"/>
  </cols>
  <sheetData>
    <row r="1" spans="1:9" x14ac:dyDescent="0.35">
      <c r="A1" s="2" t="s">
        <v>41</v>
      </c>
      <c r="B1" s="1" t="s">
        <v>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3" t="s">
        <v>48</v>
      </c>
    </row>
    <row r="2" spans="1:9" x14ac:dyDescent="0.35">
      <c r="A2" s="4" t="s">
        <v>1</v>
      </c>
      <c r="B2" s="5" t="s">
        <v>26</v>
      </c>
      <c r="C2" s="5" t="s">
        <v>31</v>
      </c>
      <c r="D2" s="5" t="s">
        <v>39</v>
      </c>
      <c r="E2" s="8">
        <v>8293</v>
      </c>
      <c r="F2" s="10">
        <v>0.08</v>
      </c>
      <c r="G2" s="10">
        <f>Table1[[#This Row],[Stock on Hand]]*Table1[[#This Row],[Unit Cost]]</f>
        <v>663.44</v>
      </c>
      <c r="H2" s="8">
        <v>89</v>
      </c>
      <c r="I2" s="12">
        <v>1</v>
      </c>
    </row>
    <row r="3" spans="1:9" x14ac:dyDescent="0.35">
      <c r="A3" s="4" t="s">
        <v>1</v>
      </c>
      <c r="B3" s="5" t="s">
        <v>27</v>
      </c>
      <c r="C3" s="5" t="s">
        <v>31</v>
      </c>
      <c r="D3" s="5" t="s">
        <v>39</v>
      </c>
      <c r="E3" s="8">
        <v>2259</v>
      </c>
      <c r="F3" s="10">
        <v>0.08</v>
      </c>
      <c r="G3" s="10">
        <f>Table1[[#This Row],[Stock on Hand]]*Table1[[#This Row],[Unit Cost]]</f>
        <v>180.72</v>
      </c>
      <c r="H3" s="8">
        <v>82</v>
      </c>
      <c r="I3" s="12">
        <v>3</v>
      </c>
    </row>
    <row r="4" spans="1:9" x14ac:dyDescent="0.35">
      <c r="A4" s="4" t="s">
        <v>1</v>
      </c>
      <c r="B4" s="5" t="s">
        <v>28</v>
      </c>
      <c r="C4" s="5" t="s">
        <v>31</v>
      </c>
      <c r="D4" s="5" t="s">
        <v>39</v>
      </c>
      <c r="E4" s="8">
        <v>5767</v>
      </c>
      <c r="F4" s="10">
        <v>0.08</v>
      </c>
      <c r="G4" s="10">
        <f>Table1[[#This Row],[Stock on Hand]]*Table1[[#This Row],[Unit Cost]]</f>
        <v>461.36</v>
      </c>
      <c r="H4" s="8">
        <v>103</v>
      </c>
      <c r="I4" s="12">
        <v>1</v>
      </c>
    </row>
    <row r="5" spans="1:9" x14ac:dyDescent="0.35">
      <c r="A5" s="4" t="s">
        <v>1</v>
      </c>
      <c r="B5" s="5" t="s">
        <v>29</v>
      </c>
      <c r="C5" s="5" t="s">
        <v>31</v>
      </c>
      <c r="D5" s="5" t="s">
        <v>39</v>
      </c>
      <c r="E5" s="8">
        <v>8482</v>
      </c>
      <c r="F5" s="10">
        <v>0.08</v>
      </c>
      <c r="G5" s="10">
        <f>Table1[[#This Row],[Stock on Hand]]*Table1[[#This Row],[Unit Cost]]</f>
        <v>678.56000000000006</v>
      </c>
      <c r="H5" s="8">
        <v>71</v>
      </c>
      <c r="I5" s="12">
        <v>1</v>
      </c>
    </row>
    <row r="6" spans="1:9" x14ac:dyDescent="0.35">
      <c r="A6" s="4" t="s">
        <v>1</v>
      </c>
      <c r="B6" s="5" t="s">
        <v>30</v>
      </c>
      <c r="C6" s="5" t="s">
        <v>31</v>
      </c>
      <c r="D6" s="5" t="s">
        <v>39</v>
      </c>
      <c r="E6" s="8">
        <v>1723</v>
      </c>
      <c r="F6" s="10">
        <v>0.08</v>
      </c>
      <c r="G6" s="10">
        <f>Table1[[#This Row],[Stock on Hand]]*Table1[[#This Row],[Unit Cost]]</f>
        <v>137.84</v>
      </c>
      <c r="H6" s="8">
        <v>52</v>
      </c>
      <c r="I6" s="12">
        <v>4</v>
      </c>
    </row>
    <row r="7" spans="1:9" x14ac:dyDescent="0.35">
      <c r="A7" s="4" t="s">
        <v>2</v>
      </c>
      <c r="B7" s="5" t="s">
        <v>26</v>
      </c>
      <c r="C7" s="5" t="s">
        <v>32</v>
      </c>
      <c r="D7" s="5" t="s">
        <v>39</v>
      </c>
      <c r="E7" s="8">
        <v>7817</v>
      </c>
      <c r="F7" s="10">
        <v>0.95</v>
      </c>
      <c r="G7" s="10">
        <f>Table1[[#This Row],[Stock on Hand]]*Table1[[#This Row],[Unit Cost]]</f>
        <v>7426.15</v>
      </c>
      <c r="H7" s="8">
        <v>74</v>
      </c>
      <c r="I7" s="12">
        <v>1</v>
      </c>
    </row>
    <row r="8" spans="1:9" x14ac:dyDescent="0.35">
      <c r="A8" s="4" t="s">
        <v>2</v>
      </c>
      <c r="B8" s="5" t="s">
        <v>27</v>
      </c>
      <c r="C8" s="5" t="s">
        <v>32</v>
      </c>
      <c r="D8" s="5" t="s">
        <v>39</v>
      </c>
      <c r="E8" s="8">
        <v>1924</v>
      </c>
      <c r="F8" s="10">
        <v>0.95</v>
      </c>
      <c r="G8" s="10">
        <f>Table1[[#This Row],[Stock on Hand]]*Table1[[#This Row],[Unit Cost]]</f>
        <v>1827.8</v>
      </c>
      <c r="H8" s="8">
        <v>55</v>
      </c>
      <c r="I8" s="12">
        <v>2</v>
      </c>
    </row>
    <row r="9" spans="1:9" x14ac:dyDescent="0.35">
      <c r="A9" s="4" t="s">
        <v>2</v>
      </c>
      <c r="B9" s="5" t="s">
        <v>28</v>
      </c>
      <c r="C9" s="5" t="s">
        <v>32</v>
      </c>
      <c r="D9" s="5" t="s">
        <v>39</v>
      </c>
      <c r="E9" s="8">
        <v>7661</v>
      </c>
      <c r="F9" s="10">
        <v>0.95</v>
      </c>
      <c r="G9" s="10">
        <f>Table1[[#This Row],[Stock on Hand]]*Table1[[#This Row],[Unit Cost]]</f>
        <v>7277.95</v>
      </c>
      <c r="H9" s="8">
        <v>55</v>
      </c>
      <c r="I9" s="12">
        <v>2</v>
      </c>
    </row>
    <row r="10" spans="1:9" x14ac:dyDescent="0.35">
      <c r="A10" s="4" t="s">
        <v>2</v>
      </c>
      <c r="B10" s="5" t="s">
        <v>29</v>
      </c>
      <c r="C10" s="5" t="s">
        <v>32</v>
      </c>
      <c r="D10" s="5" t="s">
        <v>39</v>
      </c>
      <c r="E10" s="8">
        <v>8768</v>
      </c>
      <c r="F10" s="10">
        <v>0.95</v>
      </c>
      <c r="G10" s="10">
        <f>Table1[[#This Row],[Stock on Hand]]*Table1[[#This Row],[Unit Cost]]</f>
        <v>8329.6</v>
      </c>
      <c r="H10" s="8">
        <v>65</v>
      </c>
      <c r="I10" s="12">
        <v>3</v>
      </c>
    </row>
    <row r="11" spans="1:9" x14ac:dyDescent="0.35">
      <c r="A11" s="4" t="s">
        <v>2</v>
      </c>
      <c r="B11" s="5" t="s">
        <v>30</v>
      </c>
      <c r="C11" s="5" t="s">
        <v>32</v>
      </c>
      <c r="D11" s="5" t="s">
        <v>39</v>
      </c>
      <c r="E11" s="8">
        <v>1567</v>
      </c>
      <c r="F11" s="10">
        <v>0.95</v>
      </c>
      <c r="G11" s="10">
        <f>Table1[[#This Row],[Stock on Hand]]*Table1[[#This Row],[Unit Cost]]</f>
        <v>1488.6499999999999</v>
      </c>
      <c r="H11" s="8">
        <v>30</v>
      </c>
      <c r="I11" s="12">
        <v>1</v>
      </c>
    </row>
    <row r="12" spans="1:9" x14ac:dyDescent="0.35">
      <c r="A12" s="4" t="s">
        <v>3</v>
      </c>
      <c r="B12" s="5" t="s">
        <v>28</v>
      </c>
      <c r="C12" s="5" t="s">
        <v>33</v>
      </c>
      <c r="D12" s="5" t="s">
        <v>39</v>
      </c>
      <c r="E12" s="8">
        <v>8047</v>
      </c>
      <c r="F12" s="10">
        <v>0.12</v>
      </c>
      <c r="G12" s="10">
        <f>Table1[[#This Row],[Stock on Hand]]*Table1[[#This Row],[Unit Cost]]</f>
        <v>965.64</v>
      </c>
      <c r="H12" s="8">
        <v>40</v>
      </c>
      <c r="I12" s="12">
        <v>2</v>
      </c>
    </row>
    <row r="13" spans="1:9" x14ac:dyDescent="0.35">
      <c r="A13" s="4" t="s">
        <v>3</v>
      </c>
      <c r="B13" s="5" t="s">
        <v>30</v>
      </c>
      <c r="C13" s="5" t="s">
        <v>33</v>
      </c>
      <c r="D13" s="5" t="s">
        <v>39</v>
      </c>
      <c r="E13" s="8">
        <v>9956</v>
      </c>
      <c r="F13" s="10">
        <v>0.12</v>
      </c>
      <c r="G13" s="10">
        <f>Table1[[#This Row],[Stock on Hand]]*Table1[[#This Row],[Unit Cost]]</f>
        <v>1194.72</v>
      </c>
      <c r="H13" s="8">
        <v>73</v>
      </c>
      <c r="I13" s="12">
        <v>4</v>
      </c>
    </row>
    <row r="14" spans="1:9" x14ac:dyDescent="0.35">
      <c r="A14" s="4" t="s">
        <v>4</v>
      </c>
      <c r="B14" s="5" t="s">
        <v>27</v>
      </c>
      <c r="C14" s="5" t="s">
        <v>33</v>
      </c>
      <c r="D14" s="5" t="s">
        <v>39</v>
      </c>
      <c r="E14" s="8">
        <v>5419</v>
      </c>
      <c r="F14" s="10">
        <v>0.05</v>
      </c>
      <c r="G14" s="10">
        <f>Table1[[#This Row],[Stock on Hand]]*Table1[[#This Row],[Unit Cost]]</f>
        <v>270.95</v>
      </c>
      <c r="H14" s="8">
        <v>107</v>
      </c>
      <c r="I14" s="12">
        <v>4</v>
      </c>
    </row>
    <row r="15" spans="1:9" x14ac:dyDescent="0.35">
      <c r="A15" s="4" t="s">
        <v>4</v>
      </c>
      <c r="B15" s="5" t="s">
        <v>28</v>
      </c>
      <c r="C15" s="5" t="s">
        <v>33</v>
      </c>
      <c r="D15" s="5" t="s">
        <v>39</v>
      </c>
      <c r="E15" s="8">
        <v>5315</v>
      </c>
      <c r="F15" s="10">
        <v>0.05</v>
      </c>
      <c r="G15" s="10">
        <f>Table1[[#This Row],[Stock on Hand]]*Table1[[#This Row],[Unit Cost]]</f>
        <v>265.75</v>
      </c>
      <c r="H15" s="8">
        <v>105</v>
      </c>
      <c r="I15" s="12">
        <v>1</v>
      </c>
    </row>
    <row r="16" spans="1:9" x14ac:dyDescent="0.35">
      <c r="A16" s="4" t="s">
        <v>4</v>
      </c>
      <c r="B16" s="5" t="s">
        <v>29</v>
      </c>
      <c r="C16" s="5" t="s">
        <v>33</v>
      </c>
      <c r="D16" s="5" t="s">
        <v>39</v>
      </c>
      <c r="E16" s="8">
        <v>2067</v>
      </c>
      <c r="F16" s="10">
        <v>0.05</v>
      </c>
      <c r="G16" s="10">
        <f>Table1[[#This Row],[Stock on Hand]]*Table1[[#This Row],[Unit Cost]]</f>
        <v>103.35000000000001</v>
      </c>
      <c r="H16" s="8">
        <v>42</v>
      </c>
      <c r="I16" s="12">
        <v>4</v>
      </c>
    </row>
    <row r="17" spans="1:9" x14ac:dyDescent="0.35">
      <c r="A17" s="4" t="s">
        <v>4</v>
      </c>
      <c r="B17" s="5" t="s">
        <v>30</v>
      </c>
      <c r="C17" s="5" t="s">
        <v>33</v>
      </c>
      <c r="D17" s="5" t="s">
        <v>39</v>
      </c>
      <c r="E17" s="8">
        <v>3561</v>
      </c>
      <c r="F17" s="10">
        <v>0.05</v>
      </c>
      <c r="G17" s="10">
        <f>Table1[[#This Row],[Stock on Hand]]*Table1[[#This Row],[Unit Cost]]</f>
        <v>178.05</v>
      </c>
      <c r="H17" s="8">
        <v>100</v>
      </c>
      <c r="I17" s="12">
        <v>2</v>
      </c>
    </row>
    <row r="18" spans="1:9" x14ac:dyDescent="0.35">
      <c r="A18" s="4" t="s">
        <v>5</v>
      </c>
      <c r="B18" s="5" t="s">
        <v>26</v>
      </c>
      <c r="C18" s="5" t="s">
        <v>34</v>
      </c>
      <c r="D18" s="5" t="s">
        <v>39</v>
      </c>
      <c r="E18" s="8">
        <v>1735</v>
      </c>
      <c r="F18" s="10">
        <v>1.45</v>
      </c>
      <c r="G18" s="10">
        <f>Table1[[#This Row],[Stock on Hand]]*Table1[[#This Row],[Unit Cost]]</f>
        <v>2515.75</v>
      </c>
      <c r="H18" s="8">
        <v>95</v>
      </c>
      <c r="I18" s="12">
        <v>1</v>
      </c>
    </row>
    <row r="19" spans="1:9" x14ac:dyDescent="0.35">
      <c r="A19" s="4" t="s">
        <v>5</v>
      </c>
      <c r="B19" s="5" t="s">
        <v>28</v>
      </c>
      <c r="C19" s="5" t="s">
        <v>34</v>
      </c>
      <c r="D19" s="5" t="s">
        <v>39</v>
      </c>
      <c r="E19" s="8">
        <v>9901</v>
      </c>
      <c r="F19" s="10">
        <v>1.45</v>
      </c>
      <c r="G19" s="10">
        <f>Table1[[#This Row],[Stock on Hand]]*Table1[[#This Row],[Unit Cost]]</f>
        <v>14356.449999999999</v>
      </c>
      <c r="H19" s="8">
        <v>78</v>
      </c>
      <c r="I19" s="12">
        <v>1</v>
      </c>
    </row>
    <row r="20" spans="1:9" x14ac:dyDescent="0.35">
      <c r="A20" s="4" t="s">
        <v>5</v>
      </c>
      <c r="B20" s="5" t="s">
        <v>30</v>
      </c>
      <c r="C20" s="5" t="s">
        <v>34</v>
      </c>
      <c r="D20" s="5" t="s">
        <v>39</v>
      </c>
      <c r="E20" s="8">
        <v>6945</v>
      </c>
      <c r="F20" s="10">
        <v>1.45</v>
      </c>
      <c r="G20" s="10">
        <f>Table1[[#This Row],[Stock on Hand]]*Table1[[#This Row],[Unit Cost]]</f>
        <v>10070.25</v>
      </c>
      <c r="H20" s="8">
        <v>33</v>
      </c>
      <c r="I20" s="12">
        <v>3</v>
      </c>
    </row>
    <row r="21" spans="1:9" x14ac:dyDescent="0.35">
      <c r="A21" s="4" t="s">
        <v>6</v>
      </c>
      <c r="B21" s="5" t="s">
        <v>26</v>
      </c>
      <c r="C21" s="5" t="s">
        <v>35</v>
      </c>
      <c r="D21" s="5" t="s">
        <v>39</v>
      </c>
      <c r="E21" s="8">
        <v>9532</v>
      </c>
      <c r="F21" s="10">
        <v>0.1</v>
      </c>
      <c r="G21" s="10">
        <f>Table1[[#This Row],[Stock on Hand]]*Table1[[#This Row],[Unit Cost]]</f>
        <v>953.2</v>
      </c>
      <c r="H21" s="8">
        <v>67</v>
      </c>
      <c r="I21" s="12">
        <v>2</v>
      </c>
    </row>
    <row r="22" spans="1:9" x14ac:dyDescent="0.35">
      <c r="A22" s="4" t="s">
        <v>6</v>
      </c>
      <c r="B22" s="5" t="s">
        <v>30</v>
      </c>
      <c r="C22" s="5" t="s">
        <v>35</v>
      </c>
      <c r="D22" s="5" t="s">
        <v>39</v>
      </c>
      <c r="E22" s="8">
        <v>3362</v>
      </c>
      <c r="F22" s="10">
        <v>0.1</v>
      </c>
      <c r="G22" s="10">
        <f>Table1[[#This Row],[Stock on Hand]]*Table1[[#This Row],[Unit Cost]]</f>
        <v>336.20000000000005</v>
      </c>
      <c r="H22" s="8">
        <v>114</v>
      </c>
      <c r="I22" s="12">
        <v>1</v>
      </c>
    </row>
    <row r="23" spans="1:9" x14ac:dyDescent="0.35">
      <c r="A23" s="4" t="s">
        <v>7</v>
      </c>
      <c r="B23" s="5" t="s">
        <v>26</v>
      </c>
      <c r="C23" s="5" t="s">
        <v>35</v>
      </c>
      <c r="D23" s="5" t="s">
        <v>39</v>
      </c>
      <c r="E23" s="8">
        <v>8989</v>
      </c>
      <c r="F23" s="10">
        <v>0.18</v>
      </c>
      <c r="G23" s="10">
        <f>Table1[[#This Row],[Stock on Hand]]*Table1[[#This Row],[Unit Cost]]</f>
        <v>1618.02</v>
      </c>
      <c r="H23" s="8">
        <v>119</v>
      </c>
      <c r="I23" s="12">
        <v>2</v>
      </c>
    </row>
    <row r="24" spans="1:9" x14ac:dyDescent="0.35">
      <c r="A24" s="4" t="s">
        <v>7</v>
      </c>
      <c r="B24" s="5" t="s">
        <v>29</v>
      </c>
      <c r="C24" s="5" t="s">
        <v>35</v>
      </c>
      <c r="D24" s="5" t="s">
        <v>39</v>
      </c>
      <c r="E24" s="8">
        <v>2628</v>
      </c>
      <c r="F24" s="10">
        <v>0.18</v>
      </c>
      <c r="G24" s="10">
        <f>Table1[[#This Row],[Stock on Hand]]*Table1[[#This Row],[Unit Cost]]</f>
        <v>473.03999999999996</v>
      </c>
      <c r="H24" s="8">
        <v>89</v>
      </c>
      <c r="I24" s="12">
        <v>4</v>
      </c>
    </row>
    <row r="25" spans="1:9" x14ac:dyDescent="0.35">
      <c r="A25" s="4" t="s">
        <v>7</v>
      </c>
      <c r="B25" s="5" t="s">
        <v>30</v>
      </c>
      <c r="C25" s="5" t="s">
        <v>35</v>
      </c>
      <c r="D25" s="5" t="s">
        <v>39</v>
      </c>
      <c r="E25" s="8">
        <v>8998</v>
      </c>
      <c r="F25" s="10">
        <v>0.18</v>
      </c>
      <c r="G25" s="10">
        <f>Table1[[#This Row],[Stock on Hand]]*Table1[[#This Row],[Unit Cost]]</f>
        <v>1619.6399999999999</v>
      </c>
      <c r="H25" s="8">
        <v>35</v>
      </c>
      <c r="I25" s="12">
        <v>3</v>
      </c>
    </row>
    <row r="26" spans="1:9" x14ac:dyDescent="0.35">
      <c r="A26" s="4" t="s">
        <v>8</v>
      </c>
      <c r="B26" s="5" t="s">
        <v>26</v>
      </c>
      <c r="C26" s="5" t="s">
        <v>33</v>
      </c>
      <c r="D26" s="5" t="s">
        <v>40</v>
      </c>
      <c r="E26" s="8">
        <v>4153</v>
      </c>
      <c r="F26" s="10">
        <v>0.4</v>
      </c>
      <c r="G26" s="10">
        <f>Table1[[#This Row],[Stock on Hand]]*Table1[[#This Row],[Unit Cost]]</f>
        <v>1661.2</v>
      </c>
      <c r="H26" s="8">
        <v>106</v>
      </c>
      <c r="I26" s="12">
        <v>2</v>
      </c>
    </row>
    <row r="27" spans="1:9" x14ac:dyDescent="0.35">
      <c r="A27" s="4" t="s">
        <v>8</v>
      </c>
      <c r="B27" s="5" t="s">
        <v>29</v>
      </c>
      <c r="C27" s="5" t="s">
        <v>33</v>
      </c>
      <c r="D27" s="5" t="s">
        <v>40</v>
      </c>
      <c r="E27" s="8">
        <v>2853</v>
      </c>
      <c r="F27" s="10">
        <v>0.4</v>
      </c>
      <c r="G27" s="10">
        <f>Table1[[#This Row],[Stock on Hand]]*Table1[[#This Row],[Unit Cost]]</f>
        <v>1141.2</v>
      </c>
      <c r="H27" s="8">
        <v>41</v>
      </c>
      <c r="I27" s="12">
        <v>4</v>
      </c>
    </row>
    <row r="28" spans="1:9" x14ac:dyDescent="0.35">
      <c r="A28" s="4" t="s">
        <v>8</v>
      </c>
      <c r="B28" s="5" t="s">
        <v>30</v>
      </c>
      <c r="C28" s="5" t="s">
        <v>33</v>
      </c>
      <c r="D28" s="5" t="s">
        <v>40</v>
      </c>
      <c r="E28" s="8">
        <v>4931</v>
      </c>
      <c r="F28" s="10">
        <v>0.4</v>
      </c>
      <c r="G28" s="10">
        <f>Table1[[#This Row],[Stock on Hand]]*Table1[[#This Row],[Unit Cost]]</f>
        <v>1972.4</v>
      </c>
      <c r="H28" s="8">
        <v>72</v>
      </c>
      <c r="I28" s="12">
        <v>4</v>
      </c>
    </row>
    <row r="29" spans="1:9" x14ac:dyDescent="0.35">
      <c r="A29" s="4" t="s">
        <v>9</v>
      </c>
      <c r="B29" s="5" t="s">
        <v>30</v>
      </c>
      <c r="C29" s="5" t="s">
        <v>33</v>
      </c>
      <c r="D29" s="5" t="s">
        <v>39</v>
      </c>
      <c r="E29" s="8">
        <v>3050</v>
      </c>
      <c r="F29" s="10">
        <v>0.55000000000000004</v>
      </c>
      <c r="G29" s="10">
        <f>Table1[[#This Row],[Stock on Hand]]*Table1[[#This Row],[Unit Cost]]</f>
        <v>1677.5000000000002</v>
      </c>
      <c r="H29" s="8">
        <v>63</v>
      </c>
      <c r="I29" s="12">
        <v>1</v>
      </c>
    </row>
    <row r="30" spans="1:9" x14ac:dyDescent="0.35">
      <c r="A30" s="4" t="s">
        <v>10</v>
      </c>
      <c r="B30" s="5" t="s">
        <v>26</v>
      </c>
      <c r="C30" s="5" t="s">
        <v>36</v>
      </c>
      <c r="D30" s="5" t="s">
        <v>40</v>
      </c>
      <c r="E30" s="8">
        <v>3664</v>
      </c>
      <c r="F30" s="10">
        <v>4.2</v>
      </c>
      <c r="G30" s="10">
        <f>Table1[[#This Row],[Stock on Hand]]*Table1[[#This Row],[Unit Cost]]</f>
        <v>15388.800000000001</v>
      </c>
      <c r="H30" s="8">
        <v>76</v>
      </c>
      <c r="I30" s="12">
        <v>3</v>
      </c>
    </row>
    <row r="31" spans="1:9" x14ac:dyDescent="0.35">
      <c r="A31" s="4" t="s">
        <v>10</v>
      </c>
      <c r="B31" s="5" t="s">
        <v>27</v>
      </c>
      <c r="C31" s="5" t="s">
        <v>36</v>
      </c>
      <c r="D31" s="5" t="s">
        <v>40</v>
      </c>
      <c r="E31" s="8">
        <v>2002</v>
      </c>
      <c r="F31" s="10">
        <v>4.2</v>
      </c>
      <c r="G31" s="10">
        <f>Table1[[#This Row],[Stock on Hand]]*Table1[[#This Row],[Unit Cost]]</f>
        <v>8408.4</v>
      </c>
      <c r="H31" s="8">
        <v>47</v>
      </c>
      <c r="I31" s="12">
        <v>3</v>
      </c>
    </row>
    <row r="32" spans="1:9" x14ac:dyDescent="0.35">
      <c r="A32" s="4" t="s">
        <v>10</v>
      </c>
      <c r="B32" s="5" t="s">
        <v>28</v>
      </c>
      <c r="C32" s="5" t="s">
        <v>36</v>
      </c>
      <c r="D32" s="5" t="s">
        <v>40</v>
      </c>
      <c r="E32" s="8">
        <v>1176</v>
      </c>
      <c r="F32" s="10">
        <v>4.2</v>
      </c>
      <c r="G32" s="10">
        <f>Table1[[#This Row],[Stock on Hand]]*Table1[[#This Row],[Unit Cost]]</f>
        <v>4939.2</v>
      </c>
      <c r="H32" s="8">
        <v>118</v>
      </c>
      <c r="I32" s="12">
        <v>3</v>
      </c>
    </row>
    <row r="33" spans="1:9" x14ac:dyDescent="0.35">
      <c r="A33" s="4" t="s">
        <v>10</v>
      </c>
      <c r="B33" s="5" t="s">
        <v>29</v>
      </c>
      <c r="C33" s="5" t="s">
        <v>36</v>
      </c>
      <c r="D33" s="5" t="s">
        <v>40</v>
      </c>
      <c r="E33" s="8">
        <v>6203</v>
      </c>
      <c r="F33" s="10">
        <v>4.2</v>
      </c>
      <c r="G33" s="10">
        <f>Table1[[#This Row],[Stock on Hand]]*Table1[[#This Row],[Unit Cost]]</f>
        <v>26052.600000000002</v>
      </c>
      <c r="H33" s="8">
        <v>73</v>
      </c>
      <c r="I33" s="12">
        <v>3</v>
      </c>
    </row>
    <row r="34" spans="1:9" x14ac:dyDescent="0.35">
      <c r="A34" s="4" t="s">
        <v>11</v>
      </c>
      <c r="B34" s="5" t="s">
        <v>27</v>
      </c>
      <c r="C34" s="5" t="s">
        <v>36</v>
      </c>
      <c r="D34" s="5" t="s">
        <v>39</v>
      </c>
      <c r="E34" s="8">
        <v>5483</v>
      </c>
      <c r="F34" s="10">
        <v>1.8</v>
      </c>
      <c r="G34" s="10">
        <f>Table1[[#This Row],[Stock on Hand]]*Table1[[#This Row],[Unit Cost]]</f>
        <v>9869.4</v>
      </c>
      <c r="H34" s="8">
        <v>98</v>
      </c>
      <c r="I34" s="12">
        <v>2</v>
      </c>
    </row>
    <row r="35" spans="1:9" x14ac:dyDescent="0.35">
      <c r="A35" s="4" t="s">
        <v>11</v>
      </c>
      <c r="B35" s="5" t="s">
        <v>29</v>
      </c>
      <c r="C35" s="5" t="s">
        <v>36</v>
      </c>
      <c r="D35" s="5" t="s">
        <v>39</v>
      </c>
      <c r="E35" s="8">
        <v>4697</v>
      </c>
      <c r="F35" s="10">
        <v>1.8</v>
      </c>
      <c r="G35" s="10">
        <f>Table1[[#This Row],[Stock on Hand]]*Table1[[#This Row],[Unit Cost]]</f>
        <v>8454.6</v>
      </c>
      <c r="H35" s="8">
        <v>80</v>
      </c>
      <c r="I35" s="12">
        <v>5</v>
      </c>
    </row>
    <row r="36" spans="1:9" x14ac:dyDescent="0.35">
      <c r="A36" s="4" t="s">
        <v>11</v>
      </c>
      <c r="B36" s="5" t="s">
        <v>30</v>
      </c>
      <c r="C36" s="5" t="s">
        <v>36</v>
      </c>
      <c r="D36" s="5" t="s">
        <v>39</v>
      </c>
      <c r="E36" s="8">
        <v>8856</v>
      </c>
      <c r="F36" s="10">
        <v>1.8</v>
      </c>
      <c r="G36" s="10">
        <f>Table1[[#This Row],[Stock on Hand]]*Table1[[#This Row],[Unit Cost]]</f>
        <v>15940.800000000001</v>
      </c>
      <c r="H36" s="8">
        <v>65</v>
      </c>
      <c r="I36" s="12">
        <v>3</v>
      </c>
    </row>
    <row r="37" spans="1:9" x14ac:dyDescent="0.35">
      <c r="A37" s="4" t="s">
        <v>12</v>
      </c>
      <c r="B37" s="5" t="s">
        <v>26</v>
      </c>
      <c r="C37" s="5" t="s">
        <v>36</v>
      </c>
      <c r="D37" s="5" t="s">
        <v>39</v>
      </c>
      <c r="E37" s="8">
        <v>6643</v>
      </c>
      <c r="F37" s="10">
        <v>0.04</v>
      </c>
      <c r="G37" s="10">
        <f>Table1[[#This Row],[Stock on Hand]]*Table1[[#This Row],[Unit Cost]]</f>
        <v>265.72000000000003</v>
      </c>
      <c r="H37" s="8">
        <v>42</v>
      </c>
      <c r="I37" s="12">
        <v>1</v>
      </c>
    </row>
    <row r="38" spans="1:9" x14ac:dyDescent="0.35">
      <c r="A38" s="4" t="s">
        <v>12</v>
      </c>
      <c r="B38" s="5" t="s">
        <v>27</v>
      </c>
      <c r="C38" s="5" t="s">
        <v>36</v>
      </c>
      <c r="D38" s="5" t="s">
        <v>39</v>
      </c>
      <c r="E38" s="8">
        <v>4717</v>
      </c>
      <c r="F38" s="10">
        <v>0.04</v>
      </c>
      <c r="G38" s="10">
        <f>Table1[[#This Row],[Stock on Hand]]*Table1[[#This Row],[Unit Cost]]</f>
        <v>188.68</v>
      </c>
      <c r="H38" s="8">
        <v>70</v>
      </c>
      <c r="I38" s="12">
        <v>4</v>
      </c>
    </row>
    <row r="39" spans="1:9" x14ac:dyDescent="0.35">
      <c r="A39" s="4" t="s">
        <v>12</v>
      </c>
      <c r="B39" s="5" t="s">
        <v>28</v>
      </c>
      <c r="C39" s="5" t="s">
        <v>36</v>
      </c>
      <c r="D39" s="5" t="s">
        <v>39</v>
      </c>
      <c r="E39" s="8">
        <v>4019</v>
      </c>
      <c r="F39" s="10">
        <v>0.04</v>
      </c>
      <c r="G39" s="10">
        <f>Table1[[#This Row],[Stock on Hand]]*Table1[[#This Row],[Unit Cost]]</f>
        <v>160.76</v>
      </c>
      <c r="H39" s="8">
        <v>49</v>
      </c>
      <c r="I39" s="12">
        <v>3</v>
      </c>
    </row>
    <row r="40" spans="1:9" x14ac:dyDescent="0.35">
      <c r="A40" s="4" t="s">
        <v>12</v>
      </c>
      <c r="B40" s="5" t="s">
        <v>29</v>
      </c>
      <c r="C40" s="5" t="s">
        <v>36</v>
      </c>
      <c r="D40" s="5" t="s">
        <v>39</v>
      </c>
      <c r="E40" s="8">
        <v>3426</v>
      </c>
      <c r="F40" s="10">
        <v>0.04</v>
      </c>
      <c r="G40" s="10">
        <f>Table1[[#This Row],[Stock on Hand]]*Table1[[#This Row],[Unit Cost]]</f>
        <v>137.04</v>
      </c>
      <c r="H40" s="8">
        <v>58</v>
      </c>
      <c r="I40" s="12">
        <v>2</v>
      </c>
    </row>
    <row r="41" spans="1:9" x14ac:dyDescent="0.35">
      <c r="A41" s="4" t="s">
        <v>13</v>
      </c>
      <c r="B41" s="5" t="s">
        <v>26</v>
      </c>
      <c r="C41" s="5" t="s">
        <v>36</v>
      </c>
      <c r="D41" s="5" t="s">
        <v>39</v>
      </c>
      <c r="E41" s="8">
        <v>2069</v>
      </c>
      <c r="F41" s="10">
        <v>0.03</v>
      </c>
      <c r="G41" s="10">
        <f>Table1[[#This Row],[Stock on Hand]]*Table1[[#This Row],[Unit Cost]]</f>
        <v>62.07</v>
      </c>
      <c r="H41" s="8">
        <v>107</v>
      </c>
      <c r="I41" s="12">
        <v>1</v>
      </c>
    </row>
    <row r="42" spans="1:9" x14ac:dyDescent="0.35">
      <c r="A42" s="4" t="s">
        <v>13</v>
      </c>
      <c r="B42" s="5" t="s">
        <v>27</v>
      </c>
      <c r="C42" s="5" t="s">
        <v>36</v>
      </c>
      <c r="D42" s="5" t="s">
        <v>39</v>
      </c>
      <c r="E42" s="8">
        <v>3850</v>
      </c>
      <c r="F42" s="10">
        <v>0.03</v>
      </c>
      <c r="G42" s="10">
        <f>Table1[[#This Row],[Stock on Hand]]*Table1[[#This Row],[Unit Cost]]</f>
        <v>115.5</v>
      </c>
      <c r="H42" s="8">
        <v>74</v>
      </c>
      <c r="I42" s="12">
        <v>5</v>
      </c>
    </row>
    <row r="43" spans="1:9" x14ac:dyDescent="0.35">
      <c r="A43" s="4" t="s">
        <v>13</v>
      </c>
      <c r="B43" s="5" t="s">
        <v>28</v>
      </c>
      <c r="C43" s="5" t="s">
        <v>36</v>
      </c>
      <c r="D43" s="5" t="s">
        <v>39</v>
      </c>
      <c r="E43" s="8">
        <v>4128</v>
      </c>
      <c r="F43" s="10">
        <v>0.03</v>
      </c>
      <c r="G43" s="10">
        <f>Table1[[#This Row],[Stock on Hand]]*Table1[[#This Row],[Unit Cost]]</f>
        <v>123.83999999999999</v>
      </c>
      <c r="H43" s="8">
        <v>44</v>
      </c>
      <c r="I43" s="12">
        <v>2</v>
      </c>
    </row>
    <row r="44" spans="1:9" x14ac:dyDescent="0.35">
      <c r="A44" s="4" t="s">
        <v>13</v>
      </c>
      <c r="B44" s="5" t="s">
        <v>29</v>
      </c>
      <c r="C44" s="5" t="s">
        <v>36</v>
      </c>
      <c r="D44" s="5" t="s">
        <v>39</v>
      </c>
      <c r="E44" s="8">
        <v>7971</v>
      </c>
      <c r="F44" s="10">
        <v>0.03</v>
      </c>
      <c r="G44" s="10">
        <f>Table1[[#This Row],[Stock on Hand]]*Table1[[#This Row],[Unit Cost]]</f>
        <v>239.13</v>
      </c>
      <c r="H44" s="8">
        <v>77</v>
      </c>
      <c r="I44" s="12">
        <v>3</v>
      </c>
    </row>
    <row r="45" spans="1:9" x14ac:dyDescent="0.35">
      <c r="A45" s="4" t="s">
        <v>14</v>
      </c>
      <c r="B45" s="5" t="s">
        <v>27</v>
      </c>
      <c r="C45" s="5" t="s">
        <v>31</v>
      </c>
      <c r="D45" s="5" t="s">
        <v>39</v>
      </c>
      <c r="E45" s="8">
        <v>5727</v>
      </c>
      <c r="F45" s="10">
        <v>0.02</v>
      </c>
      <c r="G45" s="10">
        <f>Table1[[#This Row],[Stock on Hand]]*Table1[[#This Row],[Unit Cost]]</f>
        <v>114.54</v>
      </c>
      <c r="H45" s="8">
        <v>100</v>
      </c>
      <c r="I45" s="12">
        <v>5</v>
      </c>
    </row>
    <row r="46" spans="1:9" x14ac:dyDescent="0.35">
      <c r="A46" s="4" t="s">
        <v>14</v>
      </c>
      <c r="B46" s="5" t="s">
        <v>28</v>
      </c>
      <c r="C46" s="5" t="s">
        <v>31</v>
      </c>
      <c r="D46" s="5" t="s">
        <v>39</v>
      </c>
      <c r="E46" s="8">
        <v>9242</v>
      </c>
      <c r="F46" s="10">
        <v>0.02</v>
      </c>
      <c r="G46" s="10">
        <f>Table1[[#This Row],[Stock on Hand]]*Table1[[#This Row],[Unit Cost]]</f>
        <v>184.84</v>
      </c>
      <c r="H46" s="8">
        <v>111</v>
      </c>
      <c r="I46" s="12">
        <v>4</v>
      </c>
    </row>
    <row r="47" spans="1:9" x14ac:dyDescent="0.35">
      <c r="A47" s="4" t="s">
        <v>14</v>
      </c>
      <c r="B47" s="5" t="s">
        <v>29</v>
      </c>
      <c r="C47" s="5" t="s">
        <v>31</v>
      </c>
      <c r="D47" s="5" t="s">
        <v>39</v>
      </c>
      <c r="E47" s="8">
        <v>8231</v>
      </c>
      <c r="F47" s="10">
        <v>0.02</v>
      </c>
      <c r="G47" s="10">
        <f>Table1[[#This Row],[Stock on Hand]]*Table1[[#This Row],[Unit Cost]]</f>
        <v>164.62</v>
      </c>
      <c r="H47" s="8">
        <v>36</v>
      </c>
      <c r="I47" s="12">
        <v>1</v>
      </c>
    </row>
    <row r="48" spans="1:9" x14ac:dyDescent="0.35">
      <c r="A48" s="4" t="s">
        <v>15</v>
      </c>
      <c r="B48" s="5" t="s">
        <v>26</v>
      </c>
      <c r="C48" s="5" t="s">
        <v>31</v>
      </c>
      <c r="D48" s="5" t="s">
        <v>39</v>
      </c>
      <c r="E48" s="8">
        <v>6956</v>
      </c>
      <c r="F48" s="10">
        <v>0.65</v>
      </c>
      <c r="G48" s="10">
        <f>Table1[[#This Row],[Stock on Hand]]*Table1[[#This Row],[Unit Cost]]</f>
        <v>4521.4000000000005</v>
      </c>
      <c r="H48" s="8">
        <v>89</v>
      </c>
      <c r="I48" s="12">
        <v>4</v>
      </c>
    </row>
    <row r="49" spans="1:9" x14ac:dyDescent="0.35">
      <c r="A49" s="4" t="s">
        <v>15</v>
      </c>
      <c r="B49" s="5" t="s">
        <v>28</v>
      </c>
      <c r="C49" s="5" t="s">
        <v>31</v>
      </c>
      <c r="D49" s="5" t="s">
        <v>39</v>
      </c>
      <c r="E49" s="8">
        <v>5334</v>
      </c>
      <c r="F49" s="10">
        <v>0.65</v>
      </c>
      <c r="G49" s="10">
        <f>Table1[[#This Row],[Stock on Hand]]*Table1[[#This Row],[Unit Cost]]</f>
        <v>3467.1</v>
      </c>
      <c r="H49" s="8">
        <v>119</v>
      </c>
      <c r="I49" s="12">
        <v>1</v>
      </c>
    </row>
    <row r="50" spans="1:9" x14ac:dyDescent="0.35">
      <c r="A50" s="4" t="s">
        <v>15</v>
      </c>
      <c r="B50" s="5" t="s">
        <v>30</v>
      </c>
      <c r="C50" s="5" t="s">
        <v>31</v>
      </c>
      <c r="D50" s="5" t="s">
        <v>39</v>
      </c>
      <c r="E50" s="8">
        <v>4379</v>
      </c>
      <c r="F50" s="10">
        <v>0.65</v>
      </c>
      <c r="G50" s="10">
        <f>Table1[[#This Row],[Stock on Hand]]*Table1[[#This Row],[Unit Cost]]</f>
        <v>2846.35</v>
      </c>
      <c r="H50" s="8">
        <v>80</v>
      </c>
      <c r="I50" s="12">
        <v>1</v>
      </c>
    </row>
    <row r="51" spans="1:9" x14ac:dyDescent="0.35">
      <c r="A51" s="4" t="s">
        <v>16</v>
      </c>
      <c r="B51" s="5" t="s">
        <v>26</v>
      </c>
      <c r="C51" s="5" t="s">
        <v>37</v>
      </c>
      <c r="D51" s="5" t="s">
        <v>40</v>
      </c>
      <c r="E51" s="8">
        <v>8406</v>
      </c>
      <c r="F51" s="10">
        <v>1.1000000000000001</v>
      </c>
      <c r="G51" s="10">
        <f>Table1[[#This Row],[Stock on Hand]]*Table1[[#This Row],[Unit Cost]]</f>
        <v>9246.6</v>
      </c>
      <c r="H51" s="8">
        <v>73</v>
      </c>
      <c r="I51" s="12">
        <v>3</v>
      </c>
    </row>
    <row r="52" spans="1:9" x14ac:dyDescent="0.35">
      <c r="A52" s="4" t="s">
        <v>16</v>
      </c>
      <c r="B52" s="5" t="s">
        <v>27</v>
      </c>
      <c r="C52" s="5" t="s">
        <v>37</v>
      </c>
      <c r="D52" s="5" t="s">
        <v>40</v>
      </c>
      <c r="E52" s="8">
        <v>4807</v>
      </c>
      <c r="F52" s="10">
        <v>1.1000000000000001</v>
      </c>
      <c r="G52" s="10">
        <f>Table1[[#This Row],[Stock on Hand]]*Table1[[#This Row],[Unit Cost]]</f>
        <v>5287.7000000000007</v>
      </c>
      <c r="H52" s="8">
        <v>117</v>
      </c>
      <c r="I52" s="12">
        <v>3</v>
      </c>
    </row>
    <row r="53" spans="1:9" x14ac:dyDescent="0.35">
      <c r="A53" s="4" t="s">
        <v>16</v>
      </c>
      <c r="B53" s="5" t="s">
        <v>28</v>
      </c>
      <c r="C53" s="5" t="s">
        <v>37</v>
      </c>
      <c r="D53" s="5" t="s">
        <v>40</v>
      </c>
      <c r="E53" s="8">
        <v>1680</v>
      </c>
      <c r="F53" s="10">
        <v>1.1000000000000001</v>
      </c>
      <c r="G53" s="10">
        <f>Table1[[#This Row],[Stock on Hand]]*Table1[[#This Row],[Unit Cost]]</f>
        <v>1848.0000000000002</v>
      </c>
      <c r="H53" s="8">
        <v>103</v>
      </c>
      <c r="I53" s="12">
        <v>4</v>
      </c>
    </row>
    <row r="54" spans="1:9" x14ac:dyDescent="0.35">
      <c r="A54" s="4" t="s">
        <v>16</v>
      </c>
      <c r="B54" s="5" t="s">
        <v>30</v>
      </c>
      <c r="C54" s="5" t="s">
        <v>37</v>
      </c>
      <c r="D54" s="5" t="s">
        <v>40</v>
      </c>
      <c r="E54" s="8">
        <v>5896</v>
      </c>
      <c r="F54" s="10">
        <v>1.1000000000000001</v>
      </c>
      <c r="G54" s="10">
        <f>Table1[[#This Row],[Stock on Hand]]*Table1[[#This Row],[Unit Cost]]</f>
        <v>6485.6</v>
      </c>
      <c r="H54" s="8">
        <v>104</v>
      </c>
      <c r="I54" s="12">
        <v>4</v>
      </c>
    </row>
    <row r="55" spans="1:9" x14ac:dyDescent="0.35">
      <c r="A55" s="4" t="s">
        <v>17</v>
      </c>
      <c r="B55" s="5" t="s">
        <v>27</v>
      </c>
      <c r="C55" s="5" t="s">
        <v>37</v>
      </c>
      <c r="D55" s="5" t="s">
        <v>40</v>
      </c>
      <c r="E55" s="8">
        <v>2534</v>
      </c>
      <c r="F55" s="10">
        <v>0.85</v>
      </c>
      <c r="G55" s="10">
        <f>Table1[[#This Row],[Stock on Hand]]*Table1[[#This Row],[Unit Cost]]</f>
        <v>2153.9</v>
      </c>
      <c r="H55" s="8">
        <v>42</v>
      </c>
      <c r="I55" s="12">
        <v>2</v>
      </c>
    </row>
    <row r="56" spans="1:9" x14ac:dyDescent="0.35">
      <c r="A56" s="4" t="s">
        <v>17</v>
      </c>
      <c r="B56" s="5" t="s">
        <v>29</v>
      </c>
      <c r="C56" s="5" t="s">
        <v>37</v>
      </c>
      <c r="D56" s="5" t="s">
        <v>40</v>
      </c>
      <c r="E56" s="8">
        <v>4236</v>
      </c>
      <c r="F56" s="10">
        <v>0.85</v>
      </c>
      <c r="G56" s="10">
        <f>Table1[[#This Row],[Stock on Hand]]*Table1[[#This Row],[Unit Cost]]</f>
        <v>3600.6</v>
      </c>
      <c r="H56" s="8">
        <v>100</v>
      </c>
      <c r="I56" s="12">
        <v>1</v>
      </c>
    </row>
    <row r="57" spans="1:9" x14ac:dyDescent="0.35">
      <c r="A57" s="4" t="s">
        <v>17</v>
      </c>
      <c r="B57" s="5" t="s">
        <v>30</v>
      </c>
      <c r="C57" s="5" t="s">
        <v>37</v>
      </c>
      <c r="D57" s="5" t="s">
        <v>40</v>
      </c>
      <c r="E57" s="8">
        <v>3739</v>
      </c>
      <c r="F57" s="10">
        <v>0.85</v>
      </c>
      <c r="G57" s="10">
        <f>Table1[[#This Row],[Stock on Hand]]*Table1[[#This Row],[Unit Cost]]</f>
        <v>3178.15</v>
      </c>
      <c r="H57" s="8">
        <v>83</v>
      </c>
      <c r="I57" s="12">
        <v>5</v>
      </c>
    </row>
    <row r="58" spans="1:9" x14ac:dyDescent="0.35">
      <c r="A58" s="4" t="s">
        <v>18</v>
      </c>
      <c r="B58" s="5" t="s">
        <v>26</v>
      </c>
      <c r="C58" s="5" t="s">
        <v>37</v>
      </c>
      <c r="D58" s="5" t="s">
        <v>40</v>
      </c>
      <c r="E58" s="8">
        <v>9952</v>
      </c>
      <c r="F58" s="10">
        <v>0.2</v>
      </c>
      <c r="G58" s="10">
        <f>Table1[[#This Row],[Stock on Hand]]*Table1[[#This Row],[Unit Cost]]</f>
        <v>1990.4</v>
      </c>
      <c r="H58" s="8">
        <v>93</v>
      </c>
      <c r="I58" s="12">
        <v>3</v>
      </c>
    </row>
    <row r="59" spans="1:9" x14ac:dyDescent="0.35">
      <c r="A59" s="4" t="s">
        <v>18</v>
      </c>
      <c r="B59" s="5" t="s">
        <v>28</v>
      </c>
      <c r="C59" s="5" t="s">
        <v>37</v>
      </c>
      <c r="D59" s="5" t="s">
        <v>40</v>
      </c>
      <c r="E59" s="8">
        <v>7671</v>
      </c>
      <c r="F59" s="10">
        <v>0.2</v>
      </c>
      <c r="G59" s="10">
        <f>Table1[[#This Row],[Stock on Hand]]*Table1[[#This Row],[Unit Cost]]</f>
        <v>1534.2</v>
      </c>
      <c r="H59" s="8">
        <v>74</v>
      </c>
      <c r="I59" s="12">
        <v>2</v>
      </c>
    </row>
    <row r="60" spans="1:9" x14ac:dyDescent="0.35">
      <c r="A60" s="4" t="s">
        <v>19</v>
      </c>
      <c r="B60" s="5" t="s">
        <v>26</v>
      </c>
      <c r="C60" s="5" t="s">
        <v>37</v>
      </c>
      <c r="D60" s="5" t="s">
        <v>40</v>
      </c>
      <c r="E60" s="8">
        <v>2947</v>
      </c>
      <c r="F60" s="10">
        <v>0.3</v>
      </c>
      <c r="G60" s="10">
        <f>Table1[[#This Row],[Stock on Hand]]*Table1[[#This Row],[Unit Cost]]</f>
        <v>884.1</v>
      </c>
      <c r="H60" s="8">
        <v>85</v>
      </c>
      <c r="I60" s="12">
        <v>1</v>
      </c>
    </row>
    <row r="61" spans="1:9" x14ac:dyDescent="0.35">
      <c r="A61" s="4" t="s">
        <v>19</v>
      </c>
      <c r="B61" s="5" t="s">
        <v>29</v>
      </c>
      <c r="C61" s="5" t="s">
        <v>37</v>
      </c>
      <c r="D61" s="5" t="s">
        <v>40</v>
      </c>
      <c r="E61" s="8">
        <v>9770</v>
      </c>
      <c r="F61" s="10">
        <v>0.3</v>
      </c>
      <c r="G61" s="10">
        <f>Table1[[#This Row],[Stock on Hand]]*Table1[[#This Row],[Unit Cost]]</f>
        <v>2931</v>
      </c>
      <c r="H61" s="8">
        <v>34</v>
      </c>
      <c r="I61" s="12">
        <v>2</v>
      </c>
    </row>
    <row r="62" spans="1:9" x14ac:dyDescent="0.35">
      <c r="A62" s="4" t="s">
        <v>19</v>
      </c>
      <c r="B62" s="5" t="s">
        <v>30</v>
      </c>
      <c r="C62" s="5" t="s">
        <v>37</v>
      </c>
      <c r="D62" s="5" t="s">
        <v>40</v>
      </c>
      <c r="E62" s="8">
        <v>3561</v>
      </c>
      <c r="F62" s="10">
        <v>0.3</v>
      </c>
      <c r="G62" s="10">
        <f>Table1[[#This Row],[Stock on Hand]]*Table1[[#This Row],[Unit Cost]]</f>
        <v>1068.3</v>
      </c>
      <c r="H62" s="8">
        <v>37</v>
      </c>
      <c r="I62" s="12">
        <v>5</v>
      </c>
    </row>
    <row r="63" spans="1:9" x14ac:dyDescent="0.35">
      <c r="A63" s="4" t="s">
        <v>20</v>
      </c>
      <c r="B63" s="5" t="s">
        <v>26</v>
      </c>
      <c r="C63" s="5" t="s">
        <v>37</v>
      </c>
      <c r="D63" s="5" t="s">
        <v>40</v>
      </c>
      <c r="E63" s="8">
        <v>3138</v>
      </c>
      <c r="F63" s="10">
        <v>1.4</v>
      </c>
      <c r="G63" s="10">
        <f>Table1[[#This Row],[Stock on Hand]]*Table1[[#This Row],[Unit Cost]]</f>
        <v>4393.2</v>
      </c>
      <c r="H63" s="8">
        <v>119</v>
      </c>
      <c r="I63" s="12">
        <v>2</v>
      </c>
    </row>
    <row r="64" spans="1:9" x14ac:dyDescent="0.35">
      <c r="A64" s="4" t="s">
        <v>20</v>
      </c>
      <c r="B64" s="5" t="s">
        <v>28</v>
      </c>
      <c r="C64" s="5" t="s">
        <v>37</v>
      </c>
      <c r="D64" s="5" t="s">
        <v>40</v>
      </c>
      <c r="E64" s="8">
        <v>2476</v>
      </c>
      <c r="F64" s="10">
        <v>1.4</v>
      </c>
      <c r="G64" s="10">
        <f>Table1[[#This Row],[Stock on Hand]]*Table1[[#This Row],[Unit Cost]]</f>
        <v>3466.3999999999996</v>
      </c>
      <c r="H64" s="8">
        <v>72</v>
      </c>
      <c r="I64" s="12">
        <v>1</v>
      </c>
    </row>
    <row r="65" spans="1:9" x14ac:dyDescent="0.35">
      <c r="A65" s="4" t="s">
        <v>20</v>
      </c>
      <c r="B65" s="5" t="s">
        <v>29</v>
      </c>
      <c r="C65" s="5" t="s">
        <v>37</v>
      </c>
      <c r="D65" s="5" t="s">
        <v>40</v>
      </c>
      <c r="E65" s="8">
        <v>9358</v>
      </c>
      <c r="F65" s="10">
        <v>1.4</v>
      </c>
      <c r="G65" s="10">
        <f>Table1[[#This Row],[Stock on Hand]]*Table1[[#This Row],[Unit Cost]]</f>
        <v>13101.199999999999</v>
      </c>
      <c r="H65" s="8">
        <v>50</v>
      </c>
      <c r="I65" s="12">
        <v>1</v>
      </c>
    </row>
    <row r="66" spans="1:9" x14ac:dyDescent="0.35">
      <c r="A66" s="4" t="s">
        <v>20</v>
      </c>
      <c r="B66" s="5" t="s">
        <v>30</v>
      </c>
      <c r="C66" s="5" t="s">
        <v>37</v>
      </c>
      <c r="D66" s="5" t="s">
        <v>40</v>
      </c>
      <c r="E66" s="8">
        <v>1434</v>
      </c>
      <c r="F66" s="10">
        <v>1.4</v>
      </c>
      <c r="G66" s="10">
        <f>Table1[[#This Row],[Stock on Hand]]*Table1[[#This Row],[Unit Cost]]</f>
        <v>2007.6</v>
      </c>
      <c r="H66" s="8">
        <v>93</v>
      </c>
      <c r="I66" s="12">
        <v>1</v>
      </c>
    </row>
    <row r="67" spans="1:9" x14ac:dyDescent="0.35">
      <c r="A67" s="4" t="s">
        <v>21</v>
      </c>
      <c r="B67" s="5" t="s">
        <v>26</v>
      </c>
      <c r="C67" s="5" t="s">
        <v>38</v>
      </c>
      <c r="D67" s="5" t="s">
        <v>39</v>
      </c>
      <c r="E67" s="8">
        <v>6243</v>
      </c>
      <c r="F67" s="10">
        <v>0.04</v>
      </c>
      <c r="G67" s="10">
        <f>Table1[[#This Row],[Stock on Hand]]*Table1[[#This Row],[Unit Cost]]</f>
        <v>249.72</v>
      </c>
      <c r="H67" s="8">
        <v>79</v>
      </c>
      <c r="I67" s="12">
        <v>1</v>
      </c>
    </row>
    <row r="68" spans="1:9" x14ac:dyDescent="0.35">
      <c r="A68" s="4" t="s">
        <v>21</v>
      </c>
      <c r="B68" s="5" t="s">
        <v>27</v>
      </c>
      <c r="C68" s="5" t="s">
        <v>38</v>
      </c>
      <c r="D68" s="5" t="s">
        <v>39</v>
      </c>
      <c r="E68" s="8">
        <v>8894</v>
      </c>
      <c r="F68" s="10">
        <v>0.04</v>
      </c>
      <c r="G68" s="10">
        <f>Table1[[#This Row],[Stock on Hand]]*Table1[[#This Row],[Unit Cost]]</f>
        <v>355.76</v>
      </c>
      <c r="H68" s="8">
        <v>105</v>
      </c>
      <c r="I68" s="12">
        <v>4</v>
      </c>
    </row>
    <row r="69" spans="1:9" x14ac:dyDescent="0.35">
      <c r="A69" s="4" t="s">
        <v>21</v>
      </c>
      <c r="B69" s="5" t="s">
        <v>28</v>
      </c>
      <c r="C69" s="5" t="s">
        <v>38</v>
      </c>
      <c r="D69" s="5" t="s">
        <v>39</v>
      </c>
      <c r="E69" s="8">
        <v>8994</v>
      </c>
      <c r="F69" s="10">
        <v>0.04</v>
      </c>
      <c r="G69" s="10">
        <f>Table1[[#This Row],[Stock on Hand]]*Table1[[#This Row],[Unit Cost]]</f>
        <v>359.76</v>
      </c>
      <c r="H69" s="8">
        <v>79</v>
      </c>
      <c r="I69" s="12">
        <v>3</v>
      </c>
    </row>
    <row r="70" spans="1:9" x14ac:dyDescent="0.35">
      <c r="A70" s="4" t="s">
        <v>21</v>
      </c>
      <c r="B70" s="5" t="s">
        <v>29</v>
      </c>
      <c r="C70" s="5" t="s">
        <v>38</v>
      </c>
      <c r="D70" s="5" t="s">
        <v>39</v>
      </c>
      <c r="E70" s="8">
        <v>8789</v>
      </c>
      <c r="F70" s="10">
        <v>0.04</v>
      </c>
      <c r="G70" s="10">
        <f>Table1[[#This Row],[Stock on Hand]]*Table1[[#This Row],[Unit Cost]]</f>
        <v>351.56</v>
      </c>
      <c r="H70" s="8">
        <v>99</v>
      </c>
      <c r="I70" s="12">
        <v>2</v>
      </c>
    </row>
    <row r="71" spans="1:9" x14ac:dyDescent="0.35">
      <c r="A71" s="4" t="s">
        <v>21</v>
      </c>
      <c r="B71" s="5" t="s">
        <v>30</v>
      </c>
      <c r="C71" s="5" t="s">
        <v>38</v>
      </c>
      <c r="D71" s="5" t="s">
        <v>39</v>
      </c>
      <c r="E71" s="8">
        <v>8288</v>
      </c>
      <c r="F71" s="10">
        <v>0.04</v>
      </c>
      <c r="G71" s="10">
        <f>Table1[[#This Row],[Stock on Hand]]*Table1[[#This Row],[Unit Cost]]</f>
        <v>331.52</v>
      </c>
      <c r="H71" s="8">
        <v>50</v>
      </c>
      <c r="I71" s="12">
        <v>5</v>
      </c>
    </row>
    <row r="72" spans="1:9" x14ac:dyDescent="0.35">
      <c r="A72" s="4" t="s">
        <v>22</v>
      </c>
      <c r="B72" s="5" t="s">
        <v>27</v>
      </c>
      <c r="C72" s="5" t="s">
        <v>38</v>
      </c>
      <c r="D72" s="5" t="s">
        <v>39</v>
      </c>
      <c r="E72" s="8">
        <v>7283</v>
      </c>
      <c r="F72" s="10">
        <v>0.45</v>
      </c>
      <c r="G72" s="10">
        <f>Table1[[#This Row],[Stock on Hand]]*Table1[[#This Row],[Unit Cost]]</f>
        <v>3277.35</v>
      </c>
      <c r="H72" s="8">
        <v>107</v>
      </c>
      <c r="I72" s="12">
        <v>2</v>
      </c>
    </row>
    <row r="73" spans="1:9" x14ac:dyDescent="0.35">
      <c r="A73" s="4" t="s">
        <v>22</v>
      </c>
      <c r="B73" s="5" t="s">
        <v>30</v>
      </c>
      <c r="C73" s="5" t="s">
        <v>38</v>
      </c>
      <c r="D73" s="5" t="s">
        <v>39</v>
      </c>
      <c r="E73" s="8">
        <v>5656</v>
      </c>
      <c r="F73" s="10">
        <v>0.45</v>
      </c>
      <c r="G73" s="10">
        <f>Table1[[#This Row],[Stock on Hand]]*Table1[[#This Row],[Unit Cost]]</f>
        <v>2545.2000000000003</v>
      </c>
      <c r="H73" s="8">
        <v>99</v>
      </c>
      <c r="I73" s="12">
        <v>4</v>
      </c>
    </row>
    <row r="74" spans="1:9" x14ac:dyDescent="0.35">
      <c r="A74" s="4" t="s">
        <v>23</v>
      </c>
      <c r="B74" s="5" t="s">
        <v>29</v>
      </c>
      <c r="C74" s="5" t="s">
        <v>32</v>
      </c>
      <c r="D74" s="5" t="s">
        <v>39</v>
      </c>
      <c r="E74" s="8">
        <v>9043</v>
      </c>
      <c r="F74" s="10">
        <v>0.55000000000000004</v>
      </c>
      <c r="G74" s="10">
        <f>Table1[[#This Row],[Stock on Hand]]*Table1[[#This Row],[Unit Cost]]</f>
        <v>4973.6500000000005</v>
      </c>
      <c r="H74" s="8">
        <v>116</v>
      </c>
      <c r="I74" s="12">
        <v>3</v>
      </c>
    </row>
    <row r="75" spans="1:9" x14ac:dyDescent="0.35">
      <c r="A75" s="4" t="s">
        <v>23</v>
      </c>
      <c r="B75" s="5" t="s">
        <v>30</v>
      </c>
      <c r="C75" s="5" t="s">
        <v>32</v>
      </c>
      <c r="D75" s="5" t="s">
        <v>39</v>
      </c>
      <c r="E75" s="8">
        <v>5571</v>
      </c>
      <c r="F75" s="10">
        <v>0.55000000000000004</v>
      </c>
      <c r="G75" s="10">
        <f>Table1[[#This Row],[Stock on Hand]]*Table1[[#This Row],[Unit Cost]]</f>
        <v>3064.05</v>
      </c>
      <c r="H75" s="8">
        <v>69</v>
      </c>
      <c r="I75" s="12">
        <v>3</v>
      </c>
    </row>
    <row r="76" spans="1:9" x14ac:dyDescent="0.35">
      <c r="A76" s="4" t="s">
        <v>24</v>
      </c>
      <c r="B76" s="5" t="s">
        <v>26</v>
      </c>
      <c r="C76" s="5" t="s">
        <v>34</v>
      </c>
      <c r="D76" s="5" t="s">
        <v>39</v>
      </c>
      <c r="E76" s="8">
        <v>4090</v>
      </c>
      <c r="F76" s="10">
        <v>0.85</v>
      </c>
      <c r="G76" s="10">
        <f>Table1[[#This Row],[Stock on Hand]]*Table1[[#This Row],[Unit Cost]]</f>
        <v>3476.5</v>
      </c>
      <c r="H76" s="8">
        <v>40</v>
      </c>
      <c r="I76" s="12">
        <v>5</v>
      </c>
    </row>
    <row r="77" spans="1:9" x14ac:dyDescent="0.35">
      <c r="A77" s="4" t="s">
        <v>24</v>
      </c>
      <c r="B77" s="5" t="s">
        <v>28</v>
      </c>
      <c r="C77" s="5" t="s">
        <v>34</v>
      </c>
      <c r="D77" s="5" t="s">
        <v>39</v>
      </c>
      <c r="E77" s="8">
        <v>5867</v>
      </c>
      <c r="F77" s="10">
        <v>0.85</v>
      </c>
      <c r="G77" s="10">
        <f>Table1[[#This Row],[Stock on Hand]]*Table1[[#This Row],[Unit Cost]]</f>
        <v>4986.95</v>
      </c>
      <c r="H77" s="8">
        <v>75</v>
      </c>
      <c r="I77" s="12">
        <v>4</v>
      </c>
    </row>
    <row r="78" spans="1:9" x14ac:dyDescent="0.35">
      <c r="A78" s="4" t="s">
        <v>24</v>
      </c>
      <c r="B78" s="5" t="s">
        <v>29</v>
      </c>
      <c r="C78" s="5" t="s">
        <v>34</v>
      </c>
      <c r="D78" s="5" t="s">
        <v>39</v>
      </c>
      <c r="E78" s="8">
        <v>4272</v>
      </c>
      <c r="F78" s="10">
        <v>0.85</v>
      </c>
      <c r="G78" s="10">
        <f>Table1[[#This Row],[Stock on Hand]]*Table1[[#This Row],[Unit Cost]]</f>
        <v>3631.2</v>
      </c>
      <c r="H78" s="8">
        <v>68</v>
      </c>
      <c r="I78" s="12">
        <v>4</v>
      </c>
    </row>
    <row r="79" spans="1:9" x14ac:dyDescent="0.35">
      <c r="A79" s="4" t="s">
        <v>24</v>
      </c>
      <c r="B79" s="5" t="s">
        <v>30</v>
      </c>
      <c r="C79" s="5" t="s">
        <v>34</v>
      </c>
      <c r="D79" s="5" t="s">
        <v>39</v>
      </c>
      <c r="E79" s="8">
        <v>8408</v>
      </c>
      <c r="F79" s="10">
        <v>0.85</v>
      </c>
      <c r="G79" s="10">
        <f>Table1[[#This Row],[Stock on Hand]]*Table1[[#This Row],[Unit Cost]]</f>
        <v>7146.8</v>
      </c>
      <c r="H79" s="8">
        <v>120</v>
      </c>
      <c r="I79" s="12">
        <v>5</v>
      </c>
    </row>
    <row r="80" spans="1:9" x14ac:dyDescent="0.35">
      <c r="A80" s="4" t="s">
        <v>25</v>
      </c>
      <c r="B80" s="5" t="s">
        <v>26</v>
      </c>
      <c r="C80" s="5" t="s">
        <v>38</v>
      </c>
      <c r="D80" s="5" t="s">
        <v>39</v>
      </c>
      <c r="E80" s="8">
        <v>1867</v>
      </c>
      <c r="F80" s="10">
        <v>0.12</v>
      </c>
      <c r="G80" s="10">
        <f>Table1[[#This Row],[Stock on Hand]]*Table1[[#This Row],[Unit Cost]]</f>
        <v>224.04</v>
      </c>
      <c r="H80" s="8">
        <v>54</v>
      </c>
      <c r="I80" s="12">
        <v>5</v>
      </c>
    </row>
    <row r="81" spans="1:9" x14ac:dyDescent="0.35">
      <c r="A81" s="4" t="s">
        <v>25</v>
      </c>
      <c r="B81" s="5" t="s">
        <v>27</v>
      </c>
      <c r="C81" s="5" t="s">
        <v>38</v>
      </c>
      <c r="D81" s="5" t="s">
        <v>39</v>
      </c>
      <c r="E81" s="8">
        <v>9425</v>
      </c>
      <c r="F81" s="10">
        <v>0.12</v>
      </c>
      <c r="G81" s="10">
        <f>Table1[[#This Row],[Stock on Hand]]*Table1[[#This Row],[Unit Cost]]</f>
        <v>1131</v>
      </c>
      <c r="H81" s="8">
        <v>41</v>
      </c>
      <c r="I81" s="12">
        <v>3</v>
      </c>
    </row>
    <row r="82" spans="1:9" x14ac:dyDescent="0.35">
      <c r="A82" s="4" t="s">
        <v>25</v>
      </c>
      <c r="B82" s="5" t="s">
        <v>28</v>
      </c>
      <c r="C82" s="5" t="s">
        <v>38</v>
      </c>
      <c r="D82" s="5" t="s">
        <v>39</v>
      </c>
      <c r="E82" s="8">
        <v>2661</v>
      </c>
      <c r="F82" s="10">
        <v>0.12</v>
      </c>
      <c r="G82" s="10">
        <f>Table1[[#This Row],[Stock on Hand]]*Table1[[#This Row],[Unit Cost]]</f>
        <v>319.32</v>
      </c>
      <c r="H82" s="8">
        <v>79</v>
      </c>
      <c r="I82" s="12">
        <v>2</v>
      </c>
    </row>
    <row r="83" spans="1:9" x14ac:dyDescent="0.35">
      <c r="A83" s="4" t="s">
        <v>25</v>
      </c>
      <c r="B83" s="5" t="s">
        <v>29</v>
      </c>
      <c r="C83" s="5" t="s">
        <v>38</v>
      </c>
      <c r="D83" s="5" t="s">
        <v>39</v>
      </c>
      <c r="E83" s="8">
        <v>8300</v>
      </c>
      <c r="F83" s="10">
        <v>0.12</v>
      </c>
      <c r="G83" s="10">
        <f>Table1[[#This Row],[Stock on Hand]]*Table1[[#This Row],[Unit Cost]]</f>
        <v>996</v>
      </c>
      <c r="H83" s="8">
        <v>117</v>
      </c>
      <c r="I83" s="12">
        <v>1</v>
      </c>
    </row>
    <row r="84" spans="1:9" x14ac:dyDescent="0.35">
      <c r="A84" s="6" t="s">
        <v>25</v>
      </c>
      <c r="B84" s="7" t="s">
        <v>30</v>
      </c>
      <c r="C84" s="7" t="s">
        <v>38</v>
      </c>
      <c r="D84" s="7" t="s">
        <v>39</v>
      </c>
      <c r="E84" s="9">
        <v>9269</v>
      </c>
      <c r="F84" s="11">
        <v>0.12</v>
      </c>
      <c r="G84" s="10">
        <f>Table1[[#This Row],[Stock on Hand]]*Table1[[#This Row],[Unit Cost]]</f>
        <v>1112.28</v>
      </c>
      <c r="H84" s="9">
        <v>120</v>
      </c>
      <c r="I84" s="1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health_inventory_by_country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FREDRICK MACHEMBA</dc:creator>
  <cp:lastModifiedBy>FREDRICK MACHEMBA</cp:lastModifiedBy>
  <cp:lastPrinted>2026-05-07T05:18:02Z</cp:lastPrinted>
  <dcterms:created xsi:type="dcterms:W3CDTF">2026-05-06T17:09:01Z</dcterms:created>
  <dcterms:modified xsi:type="dcterms:W3CDTF">2026-05-10T00:27:44Z</dcterms:modified>
</cp:coreProperties>
</file>